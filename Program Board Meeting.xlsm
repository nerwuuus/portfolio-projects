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https://atos365-my.sharepoint.com/personal/patryk_zychlewicz_atos_net/Documents/Desktop/Data Analytics/Projects to be uploaded on GitHub/"/>
    </mc:Choice>
  </mc:AlternateContent>
  <xr:revisionPtr revIDLastSave="5945" documentId="8_{DA5C68DC-FD69-4BB4-A73E-12BCEC7F289E}" xr6:coauthVersionLast="47" xr6:coauthVersionMax="47" xr10:uidLastSave="{B950DC81-73BA-42BD-BE2C-23A9C3E45525}"/>
  <bookViews>
    <workbookView xWindow="-108" yWindow="-108" windowWidth="23256" windowHeight="12456" activeTab="1" xr2:uid="{62451804-1A2C-4C6A-8377-9803464B1483}"/>
  </bookViews>
  <sheets>
    <sheet name="VBA" sheetId="20" r:id="rId1"/>
    <sheet name="Governance Dashboard" sheetId="18" r:id="rId2"/>
    <sheet name="Projects Dashboard" sheetId="15" r:id="rId3"/>
    <sheet name="Milestones" sheetId="12" r:id="rId4"/>
    <sheet name="Risk" sheetId="9" r:id="rId5"/>
    <sheet name="Issue" sheetId="11" r:id="rId6"/>
    <sheet name="PCR" sheetId="17" r:id="rId7"/>
    <sheet name="Projects" sheetId="8" state="hidden" r:id="rId8"/>
    <sheet name="RAG" sheetId="14" state="hidden" r:id="rId9"/>
  </sheets>
  <definedNames>
    <definedName name="_xlnm._FilterDatabase" localSheetId="2" hidden="1">'Projects Dashboard'!$A$1:$P$45</definedName>
  </definedNames>
  <calcPr calcId="191028"/>
  <pivotCaches>
    <pivotCache cacheId="6" r:id="rId10"/>
    <pivotCache cacheId="7" r:id="rId11"/>
    <pivotCache cacheId="8" r:id="rId12"/>
    <pivotCache cacheId="9" r:id="rId13"/>
    <pivotCache cacheId="10" r:id="rId14"/>
    <pivotCache cacheId="11"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2" l="1"/>
  <c r="I3" i="12"/>
  <c r="I4" i="12"/>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J2" i="12"/>
  <c r="J3" i="12"/>
  <c r="J4" i="12"/>
  <c r="J5" i="12"/>
  <c r="J6" i="12"/>
  <c r="J7" i="12"/>
  <c r="J8" i="12"/>
  <c r="J9" i="12"/>
  <c r="J10" i="12"/>
  <c r="J11"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K2" i="12"/>
  <c r="K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N13" i="18" l="1" a="1"/>
  <c r="N13" i="18" s="1"/>
  <c r="N3" i="18" a="1"/>
  <c r="N3" i="18" s="1"/>
  <c r="A3" i="15"/>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N42" i="15" l="1"/>
  <c r="O42" i="15"/>
  <c r="M42" i="15"/>
  <c r="P42" i="15"/>
  <c r="K42" i="15"/>
  <c r="P26" i="15"/>
  <c r="K26" i="15"/>
  <c r="N26" i="15"/>
  <c r="O26" i="15"/>
  <c r="M26" i="15"/>
  <c r="M18" i="15"/>
  <c r="O18" i="15"/>
  <c r="K18" i="15"/>
  <c r="N18" i="15"/>
  <c r="P18" i="15"/>
  <c r="O33" i="15"/>
  <c r="P33" i="15"/>
  <c r="K33" i="15"/>
  <c r="M33" i="15"/>
  <c r="N33" i="15"/>
  <c r="O17" i="15"/>
  <c r="P17" i="15"/>
  <c r="M17" i="15"/>
  <c r="K17" i="15"/>
  <c r="N17" i="15"/>
  <c r="M40" i="15"/>
  <c r="P40" i="15"/>
  <c r="K40" i="15"/>
  <c r="N40" i="15"/>
  <c r="O40" i="15"/>
  <c r="M32" i="15"/>
  <c r="K32" i="15"/>
  <c r="O32" i="15"/>
  <c r="P32" i="15"/>
  <c r="N32" i="15"/>
  <c r="M16" i="15"/>
  <c r="K16" i="15"/>
  <c r="O16" i="15"/>
  <c r="P16" i="15"/>
  <c r="N16" i="15"/>
  <c r="K31" i="15"/>
  <c r="N31" i="15"/>
  <c r="P31" i="15"/>
  <c r="O31" i="15"/>
  <c r="M31" i="15"/>
  <c r="P23" i="15"/>
  <c r="K23" i="15"/>
  <c r="N23" i="15"/>
  <c r="O23" i="15"/>
  <c r="M23" i="15"/>
  <c r="K15" i="15"/>
  <c r="P15" i="15"/>
  <c r="N15" i="15"/>
  <c r="M15" i="15"/>
  <c r="O15" i="15"/>
  <c r="N7" i="15"/>
  <c r="P7" i="15"/>
  <c r="K7" i="15"/>
  <c r="O7" i="15"/>
  <c r="M7" i="15"/>
  <c r="P38" i="15"/>
  <c r="N38" i="15"/>
  <c r="K38" i="15"/>
  <c r="M38" i="15"/>
  <c r="O38" i="15"/>
  <c r="P30" i="15"/>
  <c r="K30" i="15"/>
  <c r="N30" i="15"/>
  <c r="O30" i="15"/>
  <c r="M30" i="15"/>
  <c r="P22" i="15"/>
  <c r="N22" i="15"/>
  <c r="K22" i="15"/>
  <c r="M22" i="15"/>
  <c r="O22" i="15"/>
  <c r="P14" i="15"/>
  <c r="N14" i="15"/>
  <c r="K14" i="15"/>
  <c r="O14" i="15"/>
  <c r="M14" i="15"/>
  <c r="P6" i="15"/>
  <c r="N6" i="15"/>
  <c r="K6" i="15"/>
  <c r="M6" i="15"/>
  <c r="O6" i="15"/>
  <c r="K45" i="15"/>
  <c r="N45" i="15"/>
  <c r="O45" i="15"/>
  <c r="P45" i="15"/>
  <c r="M45" i="15"/>
  <c r="K37" i="15"/>
  <c r="P37" i="15"/>
  <c r="N37" i="15"/>
  <c r="O37" i="15"/>
  <c r="M37" i="15"/>
  <c r="K29" i="15"/>
  <c r="N29" i="15"/>
  <c r="O29" i="15"/>
  <c r="M29" i="15"/>
  <c r="P29" i="15"/>
  <c r="K21" i="15"/>
  <c r="P21" i="15"/>
  <c r="N21" i="15"/>
  <c r="M21" i="15"/>
  <c r="O21" i="15"/>
  <c r="K13" i="15"/>
  <c r="N13" i="15"/>
  <c r="O13" i="15"/>
  <c r="P13" i="15"/>
  <c r="M13" i="15"/>
  <c r="K5" i="15"/>
  <c r="P5" i="15"/>
  <c r="N5" i="15"/>
  <c r="M5" i="15"/>
  <c r="O5" i="15"/>
  <c r="M34" i="15"/>
  <c r="O34" i="15"/>
  <c r="P34" i="15"/>
  <c r="N34" i="15"/>
  <c r="K34" i="15"/>
  <c r="P10" i="15"/>
  <c r="N10" i="15"/>
  <c r="O10" i="15"/>
  <c r="M10" i="15"/>
  <c r="K10" i="15"/>
  <c r="O41" i="15"/>
  <c r="P41" i="15"/>
  <c r="M41" i="15"/>
  <c r="K41" i="15"/>
  <c r="N41" i="15"/>
  <c r="O25" i="15"/>
  <c r="P25" i="15"/>
  <c r="M25" i="15"/>
  <c r="K25" i="15"/>
  <c r="N25" i="15"/>
  <c r="O9" i="15"/>
  <c r="P9" i="15"/>
  <c r="K9" i="15"/>
  <c r="M9" i="15"/>
  <c r="N9" i="15"/>
  <c r="M24" i="15"/>
  <c r="P24" i="15"/>
  <c r="O24" i="15"/>
  <c r="K24" i="15"/>
  <c r="N24" i="15"/>
  <c r="M8" i="15"/>
  <c r="P8" i="15"/>
  <c r="K8" i="15"/>
  <c r="O8" i="15"/>
  <c r="N8" i="15"/>
  <c r="P39" i="15"/>
  <c r="K39" i="15"/>
  <c r="N39" i="15"/>
  <c r="O39" i="15"/>
  <c r="M39" i="15"/>
  <c r="O44" i="15"/>
  <c r="N44" i="15"/>
  <c r="M44" i="15"/>
  <c r="P44" i="15"/>
  <c r="K44" i="15"/>
  <c r="O36" i="15"/>
  <c r="N36" i="15"/>
  <c r="M36" i="15"/>
  <c r="P36" i="15"/>
  <c r="K36" i="15"/>
  <c r="O28" i="15"/>
  <c r="M28" i="15"/>
  <c r="N28" i="15"/>
  <c r="P28" i="15"/>
  <c r="K28" i="15"/>
  <c r="N20" i="15"/>
  <c r="M20" i="15"/>
  <c r="O20" i="15"/>
  <c r="P20" i="15"/>
  <c r="K20" i="15"/>
  <c r="O12" i="15"/>
  <c r="N12" i="15"/>
  <c r="P12" i="15"/>
  <c r="M12" i="15"/>
  <c r="K12" i="15"/>
  <c r="O4" i="15"/>
  <c r="M4" i="15"/>
  <c r="N4" i="15"/>
  <c r="P4" i="15"/>
  <c r="K4" i="15"/>
  <c r="N43" i="15"/>
  <c r="M43" i="15"/>
  <c r="P43" i="15"/>
  <c r="O43" i="15"/>
  <c r="K43" i="15"/>
  <c r="N35" i="15"/>
  <c r="O35" i="15"/>
  <c r="M35" i="15"/>
  <c r="P35" i="15"/>
  <c r="K35" i="15"/>
  <c r="N27" i="15"/>
  <c r="M27" i="15"/>
  <c r="O27" i="15"/>
  <c r="K27" i="15"/>
  <c r="P27" i="15"/>
  <c r="N19" i="15"/>
  <c r="O19" i="15"/>
  <c r="M19" i="15"/>
  <c r="P19" i="15"/>
  <c r="K19" i="15"/>
  <c r="N11" i="15"/>
  <c r="O11" i="15"/>
  <c r="M11" i="15"/>
  <c r="K11" i="15"/>
  <c r="P11" i="15"/>
  <c r="P3" i="15"/>
  <c r="N3" i="15"/>
  <c r="K3" i="15"/>
  <c r="O3" i="15"/>
  <c r="M3" i="15"/>
  <c r="L44" i="15"/>
  <c r="L35" i="15"/>
  <c r="L11" i="15"/>
  <c r="L34" i="15"/>
  <c r="L18" i="15"/>
  <c r="L33" i="15"/>
  <c r="L25" i="15"/>
  <c r="L9" i="15"/>
  <c r="L32" i="15"/>
  <c r="L24" i="15"/>
  <c r="L8" i="15"/>
  <c r="L31" i="15"/>
  <c r="L23" i="15"/>
  <c r="L7" i="15"/>
  <c r="L38" i="15"/>
  <c r="L30" i="15"/>
  <c r="L22" i="15"/>
  <c r="L14" i="15"/>
  <c r="L6" i="15"/>
  <c r="L36" i="15"/>
  <c r="L43" i="15"/>
  <c r="L27" i="15"/>
  <c r="L19" i="15"/>
  <c r="L42" i="15"/>
  <c r="L26" i="15"/>
  <c r="L10" i="15"/>
  <c r="L41" i="15"/>
  <c r="L17" i="15"/>
  <c r="L40" i="15"/>
  <c r="L16" i="15"/>
  <c r="L39" i="15"/>
  <c r="L15" i="15"/>
  <c r="L45" i="15"/>
  <c r="L37" i="15"/>
  <c r="L29" i="15"/>
  <c r="L21" i="15"/>
  <c r="L13" i="15"/>
  <c r="L5" i="15"/>
  <c r="L20" i="15"/>
  <c r="L12" i="15"/>
  <c r="L4" i="15"/>
  <c r="C28" i="15"/>
  <c r="L28" i="15"/>
  <c r="L3" i="15"/>
  <c r="G34" i="15"/>
  <c r="C34" i="15"/>
  <c r="G18" i="15"/>
  <c r="C18" i="15"/>
  <c r="G17" i="15"/>
  <c r="C17" i="15"/>
  <c r="G32" i="15"/>
  <c r="C32" i="15"/>
  <c r="G24" i="15"/>
  <c r="C24" i="15"/>
  <c r="G16" i="15"/>
  <c r="C16" i="15"/>
  <c r="G8" i="15"/>
  <c r="C8" i="15"/>
  <c r="G42" i="15"/>
  <c r="C42" i="15"/>
  <c r="G10" i="15"/>
  <c r="C10" i="15"/>
  <c r="G25" i="15"/>
  <c r="C25" i="15"/>
  <c r="G39" i="15"/>
  <c r="C39" i="15"/>
  <c r="G23" i="15"/>
  <c r="C23" i="15"/>
  <c r="G15" i="15"/>
  <c r="C15" i="15"/>
  <c r="G7" i="15"/>
  <c r="C7" i="15"/>
  <c r="G26" i="15"/>
  <c r="C26" i="15"/>
  <c r="G41" i="15"/>
  <c r="C41" i="15"/>
  <c r="G33" i="15"/>
  <c r="C33" i="15"/>
  <c r="G40" i="15"/>
  <c r="C40" i="15"/>
  <c r="G31" i="15"/>
  <c r="C31" i="15"/>
  <c r="G38" i="15"/>
  <c r="C38" i="15"/>
  <c r="G22" i="15"/>
  <c r="C22" i="15"/>
  <c r="G6" i="15"/>
  <c r="C6" i="15"/>
  <c r="G45" i="15"/>
  <c r="C45" i="15"/>
  <c r="G37" i="15"/>
  <c r="C37" i="15"/>
  <c r="G29" i="15"/>
  <c r="C29" i="15"/>
  <c r="G21" i="15"/>
  <c r="C21" i="15"/>
  <c r="G13" i="15"/>
  <c r="C13" i="15"/>
  <c r="G5" i="15"/>
  <c r="C5" i="15"/>
  <c r="G20" i="15"/>
  <c r="C20" i="15"/>
  <c r="G12" i="15"/>
  <c r="C12" i="15"/>
  <c r="G4" i="15"/>
  <c r="C4" i="15"/>
  <c r="G9" i="15"/>
  <c r="C9" i="15"/>
  <c r="G30" i="15"/>
  <c r="C30" i="15"/>
  <c r="G14" i="15"/>
  <c r="C14" i="15"/>
  <c r="G44" i="15"/>
  <c r="C44" i="15"/>
  <c r="G36" i="15"/>
  <c r="C36" i="15"/>
  <c r="G43" i="15"/>
  <c r="C43" i="15"/>
  <c r="G35" i="15"/>
  <c r="C35" i="15"/>
  <c r="G27" i="15"/>
  <c r="C27" i="15"/>
  <c r="G19" i="15"/>
  <c r="C19" i="15"/>
  <c r="G11" i="15"/>
  <c r="C11" i="15"/>
  <c r="G3" i="15"/>
  <c r="C3" i="15"/>
  <c r="G28" i="15"/>
  <c r="D28" i="15"/>
  <c r="D10" i="15"/>
  <c r="E10" i="15"/>
  <c r="F10" i="15"/>
  <c r="E17" i="15"/>
  <c r="F17" i="15"/>
  <c r="D17" i="15"/>
  <c r="E9" i="15"/>
  <c r="F9" i="15"/>
  <c r="D9" i="15"/>
  <c r="D40" i="15"/>
  <c r="E40" i="15"/>
  <c r="F40" i="15"/>
  <c r="D32" i="15"/>
  <c r="F32" i="15"/>
  <c r="E32" i="15"/>
  <c r="D24" i="15"/>
  <c r="E24" i="15"/>
  <c r="F24" i="15"/>
  <c r="D16" i="15"/>
  <c r="F16" i="15"/>
  <c r="E16" i="15"/>
  <c r="D8" i="15"/>
  <c r="E8" i="15"/>
  <c r="F8" i="15"/>
  <c r="D34" i="15"/>
  <c r="E34" i="15"/>
  <c r="F34" i="15"/>
  <c r="E25" i="15"/>
  <c r="F25" i="15"/>
  <c r="D25" i="15"/>
  <c r="E39" i="15"/>
  <c r="F39" i="15"/>
  <c r="D39" i="15"/>
  <c r="E31" i="15"/>
  <c r="F31" i="15"/>
  <c r="D31" i="15"/>
  <c r="E23" i="15"/>
  <c r="D23" i="15"/>
  <c r="F23" i="15"/>
  <c r="F15" i="15"/>
  <c r="E15" i="15"/>
  <c r="D15" i="15"/>
  <c r="E7" i="15"/>
  <c r="F7" i="15"/>
  <c r="D7" i="15"/>
  <c r="D42" i="15"/>
  <c r="E42" i="15"/>
  <c r="F42" i="15"/>
  <c r="E22" i="15"/>
  <c r="F22" i="15"/>
  <c r="D22" i="15"/>
  <c r="F37" i="15"/>
  <c r="D37" i="15"/>
  <c r="E37" i="15"/>
  <c r="F29" i="15"/>
  <c r="D29" i="15"/>
  <c r="E29" i="15"/>
  <c r="F21" i="15"/>
  <c r="D21" i="15"/>
  <c r="E21" i="15"/>
  <c r="F13" i="15"/>
  <c r="D13" i="15"/>
  <c r="E13" i="15"/>
  <c r="F5" i="15"/>
  <c r="D5" i="15"/>
  <c r="E5" i="15"/>
  <c r="D26" i="15"/>
  <c r="E26" i="15"/>
  <c r="F26" i="15"/>
  <c r="E33" i="15"/>
  <c r="F33" i="15"/>
  <c r="D33" i="15"/>
  <c r="E38" i="15"/>
  <c r="F38" i="15"/>
  <c r="D38" i="15"/>
  <c r="E14" i="15"/>
  <c r="F14" i="15"/>
  <c r="D14" i="15"/>
  <c r="F45" i="15"/>
  <c r="D45" i="15"/>
  <c r="E45" i="15"/>
  <c r="E36" i="15"/>
  <c r="F36" i="15"/>
  <c r="D36" i="15"/>
  <c r="E20" i="15"/>
  <c r="F20" i="15"/>
  <c r="D20" i="15"/>
  <c r="E4" i="15"/>
  <c r="F4" i="15"/>
  <c r="D4" i="15"/>
  <c r="D18" i="15"/>
  <c r="E18" i="15"/>
  <c r="F18" i="15"/>
  <c r="E41" i="15"/>
  <c r="F41" i="15"/>
  <c r="D41" i="15"/>
  <c r="E30" i="15"/>
  <c r="F30" i="15"/>
  <c r="D30" i="15"/>
  <c r="E6" i="15"/>
  <c r="F6" i="15"/>
  <c r="D6" i="15"/>
  <c r="E44" i="15"/>
  <c r="D44" i="15"/>
  <c r="F44" i="15"/>
  <c r="E28" i="15"/>
  <c r="F28" i="15"/>
  <c r="E12" i="15"/>
  <c r="F12" i="15"/>
  <c r="D12" i="15"/>
  <c r="F43" i="15"/>
  <c r="E43" i="15"/>
  <c r="D43" i="15"/>
  <c r="F35" i="15"/>
  <c r="D35" i="15"/>
  <c r="E35" i="15"/>
  <c r="F27" i="15"/>
  <c r="D27" i="15"/>
  <c r="E27" i="15"/>
  <c r="F19" i="15"/>
  <c r="D19" i="15"/>
  <c r="E19" i="15"/>
  <c r="F11" i="15"/>
  <c r="D11" i="15"/>
  <c r="E11" i="15"/>
  <c r="F3" i="15"/>
  <c r="D3" i="15"/>
  <c r="E3" i="15"/>
  <c r="B9" i="15"/>
  <c r="B40" i="15"/>
  <c r="B32" i="15"/>
  <c r="B24" i="15"/>
  <c r="B16" i="15"/>
  <c r="B8" i="15"/>
  <c r="B39" i="15"/>
  <c r="B23" i="15"/>
  <c r="B15" i="15"/>
  <c r="B7" i="15"/>
  <c r="B34" i="15"/>
  <c r="B41" i="15"/>
  <c r="B31" i="15"/>
  <c r="B38" i="15"/>
  <c r="B30" i="15"/>
  <c r="B22" i="15"/>
  <c r="B14" i="15"/>
  <c r="B6" i="15"/>
  <c r="B42" i="15"/>
  <c r="B10" i="15"/>
  <c r="B37" i="15"/>
  <c r="B29" i="15"/>
  <c r="B21" i="15"/>
  <c r="B13" i="15"/>
  <c r="B5" i="15"/>
  <c r="B18" i="15"/>
  <c r="B33" i="15"/>
  <c r="B17" i="15"/>
  <c r="B44" i="15"/>
  <c r="B36" i="15"/>
  <c r="B28" i="15"/>
  <c r="B20" i="15"/>
  <c r="B12" i="15"/>
  <c r="B4" i="15"/>
  <c r="B26" i="15"/>
  <c r="B25" i="15"/>
  <c r="B45" i="15"/>
  <c r="B43" i="15"/>
  <c r="B35" i="15"/>
  <c r="B27" i="15"/>
  <c r="B19" i="15"/>
  <c r="B11" i="15"/>
  <c r="B3" i="15"/>
  <c r="A2" i="15"/>
  <c r="N2" i="15" l="1"/>
  <c r="M2" i="15"/>
  <c r="O2" i="15"/>
  <c r="P2" i="15"/>
  <c r="K2" i="15"/>
  <c r="L2" i="15"/>
  <c r="G2" i="15"/>
  <c r="C2" i="15"/>
  <c r="E2" i="15"/>
  <c r="F2" i="15"/>
  <c r="D2" i="15"/>
  <c r="B2" i="15"/>
  <c r="I44" i="15"/>
  <c r="H44" i="15"/>
  <c r="I42" i="15"/>
  <c r="H42" i="15"/>
  <c r="I40" i="15"/>
  <c r="H40" i="15"/>
  <c r="J44" i="15"/>
  <c r="J42" i="15"/>
  <c r="J40" i="15"/>
  <c r="J38" i="15"/>
  <c r="J36" i="15"/>
  <c r="J34" i="15"/>
  <c r="J32" i="15"/>
  <c r="J30" i="15"/>
  <c r="J28" i="15"/>
  <c r="J26" i="15"/>
  <c r="J24" i="15"/>
  <c r="J22" i="15"/>
  <c r="J20" i="15"/>
  <c r="J18" i="15"/>
  <c r="J16" i="15"/>
  <c r="J14" i="15"/>
  <c r="J12" i="15"/>
  <c r="J10" i="15"/>
  <c r="J8" i="15"/>
  <c r="J6" i="15"/>
  <c r="J4" i="15"/>
  <c r="I38" i="15"/>
  <c r="I36" i="15"/>
  <c r="I34" i="15"/>
  <c r="I32" i="15"/>
  <c r="I30" i="15"/>
  <c r="I28" i="15"/>
  <c r="I26" i="15"/>
  <c r="I24" i="15"/>
  <c r="I22" i="15"/>
  <c r="I20" i="15"/>
  <c r="I18" i="15"/>
  <c r="I16" i="15"/>
  <c r="I14" i="15"/>
  <c r="I12" i="15"/>
  <c r="I10" i="15"/>
  <c r="I8" i="15"/>
  <c r="I6" i="15"/>
  <c r="I4" i="15"/>
  <c r="H38" i="15"/>
  <c r="H36" i="15"/>
  <c r="H34" i="15"/>
  <c r="H32" i="15"/>
  <c r="H30" i="15"/>
  <c r="H28" i="15"/>
  <c r="H26" i="15"/>
  <c r="H24" i="15"/>
  <c r="H22" i="15"/>
  <c r="H20" i="15"/>
  <c r="H18" i="15"/>
  <c r="H16" i="15"/>
  <c r="H14" i="15"/>
  <c r="H12" i="15"/>
  <c r="H10" i="15"/>
  <c r="H8" i="15"/>
  <c r="H6" i="15"/>
  <c r="H4" i="15"/>
  <c r="J45" i="15"/>
  <c r="J43" i="15"/>
  <c r="J41" i="15"/>
  <c r="J39" i="15"/>
  <c r="J37" i="15"/>
  <c r="J35" i="15"/>
  <c r="J33" i="15"/>
  <c r="J31" i="15"/>
  <c r="J29" i="15"/>
  <c r="J27" i="15"/>
  <c r="J25" i="15"/>
  <c r="J23" i="15"/>
  <c r="J21" i="15"/>
  <c r="J19" i="15"/>
  <c r="J17" i="15"/>
  <c r="J15" i="15"/>
  <c r="J13" i="15"/>
  <c r="J11" i="15"/>
  <c r="J9" i="15"/>
  <c r="J7" i="15"/>
  <c r="J5" i="15"/>
  <c r="J3" i="15"/>
  <c r="I45" i="15"/>
  <c r="I43" i="15"/>
  <c r="I41" i="15"/>
  <c r="I39" i="15"/>
  <c r="I37" i="15"/>
  <c r="I35" i="15"/>
  <c r="I33" i="15"/>
  <c r="I31" i="15"/>
  <c r="I29" i="15"/>
  <c r="I27" i="15"/>
  <c r="I25" i="15"/>
  <c r="I23" i="15"/>
  <c r="I21" i="15"/>
  <c r="I19" i="15"/>
  <c r="I17" i="15"/>
  <c r="I15" i="15"/>
  <c r="I13" i="15"/>
  <c r="I11" i="15"/>
  <c r="I9" i="15"/>
  <c r="I7" i="15"/>
  <c r="I5" i="15"/>
  <c r="I3" i="15"/>
  <c r="H45" i="15"/>
  <c r="H43" i="15"/>
  <c r="H41" i="15"/>
  <c r="H39" i="15"/>
  <c r="H37" i="15"/>
  <c r="H35" i="15"/>
  <c r="H33" i="15"/>
  <c r="H31" i="15"/>
  <c r="H29" i="15"/>
  <c r="H27" i="15"/>
  <c r="H25" i="15"/>
  <c r="H23" i="15"/>
  <c r="H21" i="15"/>
  <c r="H19" i="15"/>
  <c r="H17" i="15"/>
  <c r="H15" i="15"/>
  <c r="H13" i="15"/>
  <c r="H11" i="15"/>
  <c r="H9" i="15"/>
  <c r="H7" i="15"/>
  <c r="H5" i="15"/>
  <c r="H3" i="15"/>
  <c r="J2" i="15"/>
  <c r="I2" i="15"/>
  <c r="H2"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<sst xmlns="http://schemas.openxmlformats.org/spreadsheetml/2006/main" count="1750" uniqueCount="223">
  <si>
    <t>Column Labels</t>
  </si>
  <si>
    <t>Row Labels</t>
  </si>
  <si>
    <t>Milestones completed in the last 3 weeks</t>
  </si>
  <si>
    <t>Grand Total</t>
  </si>
  <si>
    <t>Closed Complete</t>
  </si>
  <si>
    <t>Project Name</t>
  </si>
  <si>
    <t>Milestone</t>
  </si>
  <si>
    <t>Actual End Date</t>
  </si>
  <si>
    <t>Open</t>
  </si>
  <si>
    <t>Pending</t>
  </si>
  <si>
    <t>Work in Progress</t>
  </si>
  <si>
    <t>Milestones to be completed</t>
  </si>
  <si>
    <t>Planned End Date</t>
  </si>
  <si>
    <t>2 - Medium</t>
  </si>
  <si>
    <t>3 - Low</t>
  </si>
  <si>
    <t>Initiating</t>
  </si>
  <si>
    <t>Delivering</t>
  </si>
  <si>
    <t>2 - High</t>
  </si>
  <si>
    <t>3 - Moderate/Limited</t>
  </si>
  <si>
    <t>Work %</t>
  </si>
  <si>
    <t>Phase</t>
  </si>
  <si>
    <t>Overall health</t>
  </si>
  <si>
    <t>Cost</t>
  </si>
  <si>
    <t>Scope</t>
  </si>
  <si>
    <t>Schedule</t>
  </si>
  <si>
    <t>Resources</t>
  </si>
  <si>
    <t>Comments</t>
  </si>
  <si>
    <t>Last Week's Achievements</t>
  </si>
  <si>
    <t>Key Activities planned</t>
  </si>
  <si>
    <t>Short Description</t>
  </si>
  <si>
    <t>Assigned to</t>
  </si>
  <si>
    <t>Planned end date</t>
  </si>
  <si>
    <t>Actual end date</t>
  </si>
  <si>
    <t>State</t>
  </si>
  <si>
    <t>Percent complete</t>
  </si>
  <si>
    <t>Breached</t>
  </si>
  <si>
    <t>Number</t>
  </si>
  <si>
    <t>Short description</t>
  </si>
  <si>
    <t>Impact</t>
  </si>
  <si>
    <t>Probability</t>
  </si>
  <si>
    <t>Risk status</t>
  </si>
  <si>
    <t>Risk value</t>
  </si>
  <si>
    <t>Mitigation plan</t>
  </si>
  <si>
    <t>Due date</t>
  </si>
  <si>
    <t>Source.Name</t>
  </si>
  <si>
    <t>Accept</t>
  </si>
  <si>
    <t>Priority</t>
  </si>
  <si>
    <t>Contingency Plan</t>
  </si>
  <si>
    <t>Registered by</t>
  </si>
  <si>
    <t>Planned start date</t>
  </si>
  <si>
    <t>Project manager</t>
  </si>
  <si>
    <t>Approved start date</t>
  </si>
  <si>
    <t>Status</t>
  </si>
  <si>
    <t>Approved end date</t>
  </si>
  <si>
    <t>4 - Low</t>
  </si>
  <si>
    <t>3 - Moderate</t>
  </si>
  <si>
    <t>Project</t>
  </si>
  <si>
    <t>Status Date</t>
  </si>
  <si>
    <t>Updated</t>
  </si>
  <si>
    <t>Title</t>
  </si>
  <si>
    <t>Description</t>
  </si>
  <si>
    <t>To be completed</t>
  </si>
  <si>
    <t>1 - Critical</t>
  </si>
  <si>
    <t>B. To remove HTML tags from reports and adjust row height, please use the below macros:</t>
  </si>
  <si>
    <t>Completed in the last 3 weeks</t>
  </si>
  <si>
    <t>Opened by</t>
  </si>
  <si>
    <t>Risk owner</t>
  </si>
  <si>
    <t>(All)</t>
  </si>
  <si>
    <t>Count of Project Name</t>
  </si>
  <si>
    <t>Actual start date</t>
  </si>
  <si>
    <t>PRJ0039076</t>
  </si>
  <si>
    <t>PRJ0039149</t>
  </si>
  <si>
    <t>PRJ0039154</t>
  </si>
  <si>
    <t>PRJ0039152</t>
  </si>
  <si>
    <t>PRJ0033829</t>
  </si>
  <si>
    <t>PRJ0039086</t>
  </si>
  <si>
    <t>PRJ0039081</t>
  </si>
  <si>
    <t>PRJ0016753</t>
  </si>
  <si>
    <t>PRJ0010183</t>
  </si>
  <si>
    <t>PRJ0039146</t>
  </si>
  <si>
    <t>PRJ0023824</t>
  </si>
  <si>
    <t>PRJ0039978</t>
  </si>
  <si>
    <t>PRJ0039973</t>
  </si>
  <si>
    <t>PRJ0023877</t>
  </si>
  <si>
    <t>PRJ0021456</t>
  </si>
  <si>
    <t>Pending Customer</t>
  </si>
  <si>
    <t>ISU0010057</t>
  </si>
  <si>
    <t>2 - Significant/Large</t>
  </si>
  <si>
    <t>ISU0010058</t>
  </si>
  <si>
    <t>ISU0010059</t>
  </si>
  <si>
    <t>ISU0010060</t>
  </si>
  <si>
    <t>1 - Extensive/Widespread</t>
  </si>
  <si>
    <t>ISU0010061</t>
  </si>
  <si>
    <t>ISU0010063</t>
  </si>
  <si>
    <t>ISU0010068</t>
  </si>
  <si>
    <t>ISU0010070</t>
  </si>
  <si>
    <t>ISU0010071</t>
  </si>
  <si>
    <t>ISU0010072</t>
  </si>
  <si>
    <t>ISU0010073</t>
  </si>
  <si>
    <t>(Multiple Items)</t>
  </si>
  <si>
    <t>Count of State</t>
  </si>
  <si>
    <t>Count of Status</t>
  </si>
  <si>
    <t>RSK0001176</t>
  </si>
  <si>
    <t>2 - Moderate</t>
  </si>
  <si>
    <t>Achieved</t>
  </si>
  <si>
    <t>4 - Minor/Localised</t>
  </si>
  <si>
    <t>PCR0010053</t>
  </si>
  <si>
    <t>PCR0010058</t>
  </si>
  <si>
    <t>PCR0010061</t>
  </si>
  <si>
    <t>RSK0001185</t>
  </si>
  <si>
    <t>PCR0010064</t>
  </si>
  <si>
    <t>ISU0010082</t>
  </si>
  <si>
    <t>ISU0010083</t>
  </si>
  <si>
    <t>Closed Incomplete</t>
  </si>
  <si>
    <t>PRJ0047710</t>
  </si>
  <si>
    <t>ISU0010084</t>
  </si>
  <si>
    <t>ISU0010085</t>
  </si>
  <si>
    <t>ISU0010086</t>
  </si>
  <si>
    <t>ISU0010087</t>
  </si>
  <si>
    <t>Closing</t>
  </si>
  <si>
    <t>Y</t>
  </si>
  <si>
    <t>G</t>
  </si>
  <si>
    <t>Executive Summary</t>
  </si>
  <si>
    <t>PRJ0045459</t>
  </si>
  <si>
    <t>ISU0010089</t>
  </si>
  <si>
    <t>PCR0010078</t>
  </si>
  <si>
    <t>PRJ0047968</t>
  </si>
  <si>
    <t>Number_1</t>
  </si>
  <si>
    <t>RSK0001200</t>
  </si>
  <si>
    <t>R</t>
  </si>
  <si>
    <t>PRJSTAT0047190</t>
  </si>
  <si>
    <t>PRJSTAT0047199</t>
  </si>
  <si>
    <t>PRJSTAT0047215</t>
  </si>
  <si>
    <t>PRJSTAT0047221</t>
  </si>
  <si>
    <t>PCR0010082</t>
  </si>
  <si>
    <t>RSK0001203</t>
  </si>
  <si>
    <t>1 - High</t>
  </si>
  <si>
    <t>RSK0001202</t>
  </si>
  <si>
    <t>PRJSTAT0047427</t>
  </si>
  <si>
    <t>PRJSTAT0047265</t>
  </si>
  <si>
    <t>PRJ0046630</t>
  </si>
  <si>
    <t>PRJSTAT0047254</t>
  </si>
  <si>
    <t>PRJ0047046</t>
  </si>
  <si>
    <t>PRJSTAT0047260</t>
  </si>
  <si>
    <t>PRJ0046631</t>
  </si>
  <si>
    <t>PRJ0034480</t>
  </si>
  <si>
    <t>PRJ0026807</t>
  </si>
  <si>
    <t>PRJ0026824</t>
  </si>
  <si>
    <t>PRJ0026545</t>
  </si>
  <si>
    <t>PRJ0030279</t>
  </si>
  <si>
    <t>PRJ0046632</t>
  </si>
  <si>
    <t>Closed Skipped</t>
  </si>
  <si>
    <t>PCR0010037</t>
  </si>
  <si>
    <t>PCR0010038</t>
  </si>
  <si>
    <t>PCR0010039</t>
  </si>
  <si>
    <t>PCR0010041</t>
  </si>
  <si>
    <t>PCR0010044</t>
  </si>
  <si>
    <t>PCR0010047</t>
  </si>
  <si>
    <t>PRJSTAT0047635</t>
  </si>
  <si>
    <t>project_status (37).xlsx</t>
  </si>
  <si>
    <t>PRJSTAT0047642</t>
  </si>
  <si>
    <t>PRJSTAT0047645</t>
  </si>
  <si>
    <t>PRJSTAT0047648</t>
  </si>
  <si>
    <t>PRJSTAT0047541</t>
  </si>
  <si>
    <t>PRJSTAT0047570</t>
  </si>
  <si>
    <t>PRJSTAT0047534</t>
  </si>
  <si>
    <t>PRJSTAT0047537</t>
  </si>
  <si>
    <t>PRJSTAT0047547</t>
  </si>
  <si>
    <t>PRJ0051279</t>
  </si>
  <si>
    <r>
      <t xml:space="preserve">A. To refresh data and charts go to </t>
    </r>
    <r>
      <rPr>
        <i/>
        <sz val="11"/>
        <color theme="1"/>
        <rFont val="Calibri"/>
        <family val="2"/>
        <scheme val="minor"/>
      </rPr>
      <t>Data - Refresh All</t>
    </r>
    <r>
      <rPr>
        <sz val="11"/>
        <color theme="1"/>
        <rFont val="Calibri"/>
        <family val="2"/>
        <charset val="238"/>
        <scheme val="minor"/>
      </rPr>
      <t xml:space="preserve">. </t>
    </r>
    <r>
      <rPr>
        <b/>
        <sz val="11"/>
        <color rgb="FFFF0000"/>
        <rFont val="Calibri"/>
        <family val="2"/>
        <scheme val="minor"/>
      </rPr>
      <t>IMPORTANT:</t>
    </r>
    <r>
      <rPr>
        <sz val="11"/>
        <color theme="1"/>
        <rFont val="Calibri"/>
        <family val="2"/>
        <charset val="238"/>
        <scheme val="minor"/>
      </rPr>
      <t xml:space="preserve"> Data refresh won't work if you don't have access to the Project Delivery SharePoint.</t>
    </r>
  </si>
  <si>
    <t xml:space="preserve">1 PROJECT MANAGER </t>
  </si>
  <si>
    <t xml:space="preserve">2 PROJECT MANAGER </t>
  </si>
  <si>
    <t xml:space="preserve">3 PROJECT MANAGER </t>
  </si>
  <si>
    <t xml:space="preserve">4 PROJECT MANAGER </t>
  </si>
  <si>
    <t xml:space="preserve">5 PROJECT MANAGER </t>
  </si>
  <si>
    <t>Lorem ipsum dolor sit amet, consectetur adipiscing elit.</t>
  </si>
  <si>
    <t>PROJECT_ALPHA</t>
  </si>
  <si>
    <t>PROJECT_BRAVO</t>
  </si>
  <si>
    <t>PROJECT_CHARLIE</t>
  </si>
  <si>
    <t>PROJECT_DELTA</t>
  </si>
  <si>
    <t>PROJECT_ECHO</t>
  </si>
  <si>
    <t>PROJECT_FOXTROT</t>
  </si>
  <si>
    <t>PROJECT_GOLF</t>
  </si>
  <si>
    <t>PROJECT_HOTEL</t>
  </si>
  <si>
    <t>PROJECT_INDIA</t>
  </si>
  <si>
    <t>PROJECT_JULIET</t>
  </si>
  <si>
    <t>PROJECT_KILO</t>
  </si>
  <si>
    <t>PROJECT_LIMA</t>
  </si>
  <si>
    <t>PROJECT_MIKE</t>
  </si>
  <si>
    <t>PROJECT_NOVEMBER</t>
  </si>
  <si>
    <t>PROJECT_OSCAR</t>
  </si>
  <si>
    <t>PROJECT_PAPA</t>
  </si>
  <si>
    <t>PROJECT_QUEBEC</t>
  </si>
  <si>
    <t>PROJECT_ROMEO</t>
  </si>
  <si>
    <t>PROJECT_SIERRA</t>
  </si>
  <si>
    <t>PROJECT_TANGO</t>
  </si>
  <si>
    <t>PROJECT_UNIFORM</t>
  </si>
  <si>
    <t>PROJECT_VICTOR</t>
  </si>
  <si>
    <t>PROJECT_WHISKEY</t>
  </si>
  <si>
    <t>PROJECT_XRAY</t>
  </si>
  <si>
    <t>Week 2025-12</t>
  </si>
  <si>
    <t xml:space="preserve"> Week 2025-12</t>
  </si>
  <si>
    <t>Week 2025-10</t>
  </si>
  <si>
    <t>pm1</t>
  </si>
  <si>
    <t>pm2</t>
  </si>
  <si>
    <t>pm3</t>
  </si>
  <si>
    <t>pm4</t>
  </si>
  <si>
    <t>Product Owner 1</t>
  </si>
  <si>
    <t>Product Owner 2</t>
  </si>
  <si>
    <t>Product Owner 3</t>
  </si>
  <si>
    <t>Product Owner 4</t>
  </si>
  <si>
    <t>2 PROJECT MANAGER</t>
  </si>
  <si>
    <t>3 PROJECT MANAGER</t>
  </si>
  <si>
    <t>4 PROJECT MANAGER</t>
  </si>
  <si>
    <t>5 PROJECT MANAGER</t>
  </si>
  <si>
    <t>6 PROJECT MANAGER</t>
  </si>
  <si>
    <t>7 PROJECT MANAGER</t>
  </si>
  <si>
    <t>PRODUCT OWNER 1</t>
  </si>
  <si>
    <t>PRODUCT OWNER 2</t>
  </si>
  <si>
    <t>PRODUCT OWNER 3</t>
  </si>
  <si>
    <t>PRODUCT OWNER 4</t>
  </si>
  <si>
    <t>1 PROJECT MANAGER</t>
  </si>
  <si>
    <t xml:space="preserve">6 PROJECT MANAGER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</si>
</sst>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dd/mm/yyyy;@"/>
  </numFmts>
  <fonts count="19" x14ac:knownFonts="1">
    <font>
      <sz val="11"/>
      <color theme="1"/>
      <name val="Calibri"/>
      <family val="2"/>
      <charset val="238"/>
      <scheme val="minor"/>
    </font>
    <font>
      <sz val="11"/>
      <color theme="1"/>
      <name val="Calibri"/>
      <family val="2"/>
      <charset val="238"/>
      <scheme val="minor"/>
    </font>
    <font>
      <sz val="8"/>
      <name val="Calibri"/>
      <family val="2"/>
      <charset val="238"/>
      <scheme val="minor"/>
    </font>
    <font>
      <b/>
      <sz val="10"/>
      <name val="Calibri"/>
      <family val="2"/>
      <scheme val="minor"/>
    </font>
    <font>
      <sz val="10"/>
      <color theme="1"/>
      <name val="Calibri"/>
      <family val="2"/>
      <scheme val="minor"/>
    </font>
    <font>
      <sz val="7"/>
      <color theme="1"/>
      <name val="Calibri"/>
      <family val="2"/>
      <scheme val="minor"/>
    </font>
    <font>
      <sz val="9"/>
      <color theme="1"/>
      <name val="Calibri"/>
      <family val="2"/>
      <scheme val="minor"/>
    </font>
    <font>
      <sz val="10"/>
      <color rgb="FFC00000"/>
      <name val="Calibri"/>
      <family val="2"/>
      <scheme val="minor"/>
    </font>
    <font>
      <b/>
      <sz val="10"/>
      <color theme="1"/>
      <name val="Calibri"/>
      <family val="2"/>
      <scheme val="minor"/>
    </font>
    <font>
      <i/>
      <sz val="11"/>
      <color theme="1"/>
      <name val="Calibri"/>
      <family val="2"/>
      <scheme val="minor"/>
    </font>
    <font>
      <b/>
      <sz val="11"/>
      <color rgb="FFFF0000"/>
      <name val="Calibri"/>
      <family val="2"/>
      <scheme val="minor"/>
    </font>
    <font>
      <sz val="10"/>
      <color rgb="FF000000"/>
      <name val="Calibri"/>
      <family val="2"/>
    </font>
    <font>
      <sz val="7.5"/>
      <color theme="1"/>
      <name val="Calibri"/>
      <family val="2"/>
      <scheme val="minor"/>
    </font>
    <font>
      <b/>
      <sz val="12"/>
      <color theme="1"/>
      <name val="Calibri"/>
      <family val="2"/>
      <scheme val="minor"/>
    </font>
    <font>
      <sz val="11"/>
      <color rgb="FF000000"/>
      <name val="Calibri"/>
      <family val="2"/>
    </font>
    <font>
      <b/>
      <sz val="8"/>
      <name val="Calibri"/>
      <family val="2"/>
      <scheme val="minor"/>
    </font>
    <font>
      <b/>
      <sz val="8"/>
      <color theme="0"/>
      <name val="Calibri"/>
      <family val="2"/>
      <scheme val="minor"/>
    </font>
    <font>
      <sz val="8"/>
      <color theme="1"/>
      <name val="Calibri"/>
      <family val="2"/>
      <scheme val="minor"/>
    </font>
    <font>
      <sz val="10"/>
      <color rgb="FF000000"/>
      <name val="Calibri"/>
      <family val="2"/>
      <scheme val="minor"/>
    </font>
  </fonts>
  <fills count="8">
    <fill>
      <patternFill patternType="none"/>
    </fill>
    <fill>
      <patternFill patternType="gray125"/>
    </fill>
    <fill>
      <patternFill patternType="solid">
        <fgColor theme="8" tint="-0.499984740745262"/>
        <bgColor rgb="FF0596FF"/>
      </patternFill>
    </fill>
    <fill>
      <patternFill patternType="solid">
        <fgColor theme="8" tint="-0.249977111117893"/>
        <bgColor rgb="FF0596FF"/>
      </patternFill>
    </fill>
    <fill>
      <patternFill patternType="solid">
        <fgColor theme="8" tint="0.39997558519241921"/>
        <bgColor rgb="FF0596FF"/>
      </patternFill>
    </fill>
    <fill>
      <patternFill patternType="solid">
        <fgColor theme="8" tint="0.59999389629810485"/>
        <bgColor rgb="FF0596FF"/>
      </patternFill>
    </fill>
    <fill>
      <patternFill patternType="solid">
        <fgColor theme="4" tint="0.59999389629810485"/>
        <bgColor theme="4" tint="0.79998168889431442"/>
      </patternFill>
    </fill>
    <fill>
      <patternFill patternType="solid">
        <fgColor theme="4" tint="0.79998168889431442"/>
        <bgColor indexed="64"/>
      </patternFill>
    </fill>
  </fills>
  <borders count="3">
    <border>
      <left/>
      <right/>
      <top/>
      <bottom/>
      <diagonal/>
    </border>
    <border>
      <left style="thin">
        <color rgb="FFD3D3D3"/>
      </left>
      <right style="thin">
        <color rgb="FFD3D3D3"/>
      </right>
      <top style="thin">
        <color rgb="FFD3D3D3"/>
      </top>
      <bottom style="thin">
        <color rgb="FFD3D3D3"/>
      </bottom>
      <diagonal/>
    </border>
    <border>
      <left style="thin">
        <color rgb="FFD3D3D3"/>
      </left>
      <right style="thin">
        <color rgb="FFD3D3D3"/>
      </right>
      <top/>
      <bottom style="thin">
        <color rgb="FFD3D3D3"/>
      </bottom>
      <diagonal/>
    </border>
  </borders>
  <cellStyleXfs count="2">
    <xf numFmtId="0" fontId="0" fillId="0" borderId="0"/>
    <xf numFmtId="9" fontId="1" fillId="0" borderId="0" applyFont="0" applyFill="0" applyBorder="0" applyAlignment="0" applyProtection="0"/>
  </cellStyleXfs>
  <cellXfs count="58">
    <xf numFmtId="0" fontId="0" fillId="0" borderId="0" xfId="0"/>
    <xf numFmtId="0" fontId="4" fillId="0" borderId="0" xfId="0" applyFont="1" applyAlignment="1">
      <alignment vertical="center"/>
    </xf>
    <xf numFmtId="0" fontId="6" fillId="0" borderId="0" xfId="0" applyFont="1" applyAlignment="1">
      <alignment horizontal="left" vertical="center"/>
    </xf>
    <xf numFmtId="164" fontId="6" fillId="0" borderId="0" xfId="0" applyNumberFormat="1" applyFont="1" applyAlignment="1">
      <alignment horizontal="left" vertical="center"/>
    </xf>
    <xf numFmtId="0" fontId="3" fillId="4" borderId="1" xfId="0" applyFont="1" applyFill="1" applyBorder="1" applyAlignment="1">
      <alignment horizontal="left" vertical="top" readingOrder="1"/>
    </xf>
    <xf numFmtId="0" fontId="3" fillId="4" borderId="2" xfId="0" applyFont="1" applyFill="1" applyBorder="1" applyAlignment="1">
      <alignment horizontal="left" vertical="top" readingOrder="1"/>
    </xf>
    <xf numFmtId="0" fontId="4" fillId="0" borderId="0" xfId="0" applyFont="1" applyAlignment="1">
      <alignment horizontal="left" vertical="top"/>
    </xf>
    <xf numFmtId="14" fontId="4" fillId="0" borderId="0" xfId="0" applyNumberFormat="1" applyFont="1" applyAlignment="1">
      <alignment horizontal="left" vertical="top"/>
    </xf>
    <xf numFmtId="9" fontId="4" fillId="0" borderId="0" xfId="0" applyNumberFormat="1" applyFont="1" applyAlignment="1">
      <alignment horizontal="center" vertical="top"/>
    </xf>
    <xf numFmtId="0" fontId="3" fillId="4" borderId="2" xfId="0" applyFont="1" applyFill="1" applyBorder="1" applyAlignment="1">
      <alignment horizontal="left" vertical="top" wrapText="1" readingOrder="1"/>
    </xf>
    <xf numFmtId="0" fontId="4" fillId="0" borderId="0" xfId="0" applyFont="1" applyAlignment="1">
      <alignment horizontal="left" vertical="top" wrapText="1"/>
    </xf>
    <xf numFmtId="0" fontId="7" fillId="0" borderId="0" xfId="0" applyFont="1" applyAlignment="1">
      <alignment horizontal="left" vertical="top" wrapText="1"/>
    </xf>
    <xf numFmtId="0" fontId="8" fillId="0" borderId="0" xfId="0" applyFont="1"/>
    <xf numFmtId="0" fontId="0" fillId="0" borderId="0" xfId="0" pivotButton="1"/>
    <xf numFmtId="0" fontId="0" fillId="0" borderId="0" xfId="0" applyAlignment="1">
      <alignment horizontal="left"/>
    </xf>
    <xf numFmtId="0" fontId="0" fillId="0" borderId="0" xfId="0" applyAlignment="1">
      <alignment horizontal="left" vertical="top" wrapText="1"/>
    </xf>
    <xf numFmtId="0" fontId="0" fillId="0" borderId="0" xfId="0" applyAlignment="1">
      <alignment horizontal="left" vertical="top"/>
    </xf>
    <xf numFmtId="0" fontId="5" fillId="0" borderId="0" xfId="0" applyFont="1" applyAlignment="1">
      <alignment horizontal="left" vertical="center" wrapText="1"/>
    </xf>
    <xf numFmtId="0" fontId="4" fillId="0" borderId="0" xfId="0" applyFont="1" applyAlignment="1">
      <alignment vertical="top"/>
    </xf>
    <xf numFmtId="0" fontId="12" fillId="0" borderId="0" xfId="0" applyFont="1" applyAlignment="1">
      <alignment horizontal="left" vertical="top" wrapText="1"/>
    </xf>
    <xf numFmtId="0" fontId="4" fillId="0" borderId="0" xfId="0" applyFont="1"/>
    <xf numFmtId="165" fontId="3" fillId="4" borderId="1" xfId="0" applyNumberFormat="1" applyFont="1" applyFill="1" applyBorder="1" applyAlignment="1">
      <alignment horizontal="left" vertical="top" readingOrder="1"/>
    </xf>
    <xf numFmtId="165" fontId="4" fillId="0" borderId="0" xfId="0" applyNumberFormat="1" applyFont="1" applyAlignment="1">
      <alignment horizontal="left" vertical="top"/>
    </xf>
    <xf numFmtId="0" fontId="6" fillId="0" borderId="0" xfId="0" applyFont="1" applyAlignment="1">
      <alignment horizontal="left" vertical="top"/>
    </xf>
    <xf numFmtId="9" fontId="6" fillId="0" borderId="0" xfId="1" applyFont="1" applyAlignment="1">
      <alignment horizontal="left" vertical="center"/>
    </xf>
    <xf numFmtId="164" fontId="6" fillId="0" borderId="0" xfId="1" applyNumberFormat="1" applyFont="1" applyAlignment="1">
      <alignment horizontal="left" vertical="top"/>
    </xf>
    <xf numFmtId="14" fontId="6" fillId="0" borderId="0" xfId="1" applyNumberFormat="1" applyFont="1" applyAlignment="1">
      <alignment horizontal="left" vertical="top"/>
    </xf>
    <xf numFmtId="9" fontId="6" fillId="0" borderId="0" xfId="1" applyFont="1" applyAlignment="1">
      <alignment horizontal="center" vertical="center"/>
    </xf>
    <xf numFmtId="0" fontId="5" fillId="0" borderId="0" xfId="0" applyFont="1" applyAlignment="1">
      <alignment horizontal="left" vertical="top" wrapText="1"/>
    </xf>
    <xf numFmtId="0" fontId="0" fillId="7" borderId="0" xfId="0" applyFill="1" applyAlignment="1">
      <alignment horizontal="left"/>
    </xf>
    <xf numFmtId="14" fontId="0" fillId="7" borderId="0" xfId="0" applyNumberFormat="1" applyFill="1" applyAlignment="1">
      <alignment horizontal="left"/>
    </xf>
    <xf numFmtId="14" fontId="0" fillId="0" borderId="0" xfId="0" applyNumberFormat="1" applyAlignment="1">
      <alignment horizontal="left" vertical="top" wrapText="1"/>
    </xf>
    <xf numFmtId="14" fontId="0" fillId="0" borderId="0" xfId="0" applyNumberFormat="1" applyAlignment="1">
      <alignment horizontal="left"/>
    </xf>
    <xf numFmtId="0" fontId="15" fillId="5" borderId="1" xfId="0" applyFont="1" applyFill="1" applyBorder="1" applyAlignment="1">
      <alignment horizontal="center" vertical="center" readingOrder="1"/>
    </xf>
    <xf numFmtId="0" fontId="15" fillId="5" borderId="1" xfId="0" applyFont="1" applyFill="1" applyBorder="1" applyAlignment="1">
      <alignment horizontal="center" vertical="center" wrapText="1" readingOrder="1"/>
    </xf>
    <xf numFmtId="164" fontId="15" fillId="5" borderId="1" xfId="0" applyNumberFormat="1" applyFont="1" applyFill="1" applyBorder="1" applyAlignment="1">
      <alignment horizontal="center" vertical="center" wrapText="1" readingOrder="1"/>
    </xf>
    <xf numFmtId="0" fontId="16" fillId="2" borderId="1" xfId="0" applyFont="1" applyFill="1" applyBorder="1" applyAlignment="1">
      <alignment horizontal="center" vertical="center" textRotation="90" readingOrder="1"/>
    </xf>
    <xf numFmtId="0" fontId="16" fillId="3" borderId="1" xfId="0" applyFont="1" applyFill="1" applyBorder="1" applyAlignment="1">
      <alignment horizontal="center" vertical="center" textRotation="90" readingOrder="1"/>
    </xf>
    <xf numFmtId="0" fontId="17" fillId="0" borderId="0" xfId="0" applyFont="1" applyAlignment="1">
      <alignment horizontal="center"/>
    </xf>
    <xf numFmtId="14" fontId="15" fillId="5" borderId="1" xfId="0" applyNumberFormat="1" applyFont="1" applyFill="1" applyBorder="1" applyAlignment="1">
      <alignment horizontal="center" vertical="center" wrapText="1" readingOrder="1"/>
    </xf>
    <xf numFmtId="14" fontId="5" fillId="0" borderId="0" xfId="0" applyNumberFormat="1" applyFont="1" applyAlignment="1">
      <alignment horizontal="left" vertical="top"/>
    </xf>
    <xf numFmtId="14" fontId="5" fillId="0" borderId="0" xfId="0" applyNumberFormat="1" applyFont="1" applyAlignment="1">
      <alignment horizontal="left" vertical="center"/>
    </xf>
    <xf numFmtId="14" fontId="5" fillId="0" borderId="0" xfId="1" applyNumberFormat="1" applyFont="1" applyAlignment="1">
      <alignment horizontal="center" vertical="center"/>
    </xf>
    <xf numFmtId="0" fontId="5" fillId="0" borderId="0" xfId="0" applyFont="1" applyAlignment="1">
      <alignment horizontal="center" vertical="center"/>
    </xf>
    <xf numFmtId="0" fontId="0" fillId="0" borderId="0" xfId="0" applyAlignment="1">
      <alignment horizontal="center" vertical="center"/>
    </xf>
    <xf numFmtId="0" fontId="0" fillId="0" borderId="0" xfId="0" applyNumberFormat="1"/>
    <xf numFmtId="0" fontId="4" fillId="0" borderId="0" xfId="0" applyNumberFormat="1" applyFont="1" applyAlignment="1">
      <alignment horizontal="left" vertical="top"/>
    </xf>
    <xf numFmtId="0" fontId="4" fillId="0" borderId="0" xfId="0" applyNumberFormat="1" applyFont="1" applyAlignment="1">
      <alignment horizontal="left" vertical="top" wrapText="1"/>
    </xf>
    <xf numFmtId="0" fontId="4" fillId="0" borderId="0" xfId="0" applyNumberFormat="1" applyFont="1"/>
    <xf numFmtId="9" fontId="4" fillId="0" borderId="0" xfId="1" applyNumberFormat="1" applyFont="1" applyAlignment="1">
      <alignment horizontal="center" vertical="top"/>
    </xf>
    <xf numFmtId="0" fontId="18" fillId="0" borderId="0" xfId="0" applyFont="1" applyAlignment="1">
      <alignment horizontal="left" vertical="top" wrapText="1"/>
    </xf>
    <xf numFmtId="14" fontId="4" fillId="0" borderId="0" xfId="0" applyNumberFormat="1" applyFont="1"/>
    <xf numFmtId="9" fontId="8" fillId="0" borderId="0" xfId="1" applyFont="1"/>
    <xf numFmtId="0" fontId="4" fillId="0" borderId="0" xfId="0" applyNumberFormat="1" applyFont="1" applyAlignment="1">
      <alignment wrapText="1"/>
    </xf>
    <xf numFmtId="9" fontId="4" fillId="0" borderId="0" xfId="1" applyFont="1"/>
    <xf numFmtId="0" fontId="4" fillId="0" borderId="0" xfId="1" applyNumberFormat="1" applyFont="1"/>
    <xf numFmtId="0" fontId="4" fillId="0" borderId="0" xfId="0" applyFont="1" applyAlignment="1">
      <alignment wrapText="1"/>
    </xf>
    <xf numFmtId="0" fontId="13" fillId="6" borderId="0" xfId="0" applyFont="1" applyFill="1" applyAlignment="1">
      <alignment horizontal="center"/>
    </xf>
  </cellXfs>
  <cellStyles count="2">
    <cellStyle name="Normal" xfId="0" builtinId="0"/>
    <cellStyle name="Percent" xfId="1" builtinId="5"/>
  </cellStyles>
  <dxfs count="105">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dxf>
    <dxf>
      <font>
        <b/>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dxf>
    <dxf>
      <font>
        <b/>
        <strike val="0"/>
        <outline val="0"/>
        <shadow val="0"/>
        <u val="none"/>
        <vertAlign val="baseline"/>
        <sz val="10"/>
        <color theme="1"/>
        <name val="Calibri"/>
        <family val="2"/>
        <scheme val="minor"/>
      </font>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dxf>
    <dxf>
      <font>
        <strike val="0"/>
        <outline val="0"/>
        <shadow val="0"/>
        <u val="none"/>
        <vertAlign val="baseline"/>
        <sz val="10"/>
        <name val="Calibri"/>
        <family val="2"/>
        <scheme val="minor"/>
      </font>
      <numFmt numFmtId="19" formatCode="dd/mm/yyyy"/>
    </dxf>
    <dxf>
      <font>
        <strike val="0"/>
        <outline val="0"/>
        <shadow val="0"/>
        <u val="none"/>
        <vertAlign val="baseline"/>
        <sz val="10"/>
        <name val="Calibri"/>
        <family val="2"/>
        <scheme val="minor"/>
      </font>
    </dxf>
    <dxf>
      <font>
        <strike val="0"/>
        <outline val="0"/>
        <shadow val="0"/>
        <u val="none"/>
        <vertAlign val="baseline"/>
        <sz val="10"/>
        <name val="Calibri"/>
        <family val="2"/>
        <scheme val="minor"/>
      </font>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alignment horizontal="left" vertical="top" textRotation="0" indent="0" justifyLastLine="0" shrinkToFit="0" readingOrder="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alignment horizontal="left" vertical="top" textRotation="0" indent="0" justifyLastLine="0" shrinkToFit="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color rgb="FF00000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alignment horizontal="left" vertical="top" textRotation="0" indent="0" justifyLastLine="0" shrinkToFit="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165" formatCode="dd/mm/yyyy;@"/>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3" formatCode="0%"/>
      <alignment horizontal="center"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dxf>
    <dxf>
      <font>
        <strike val="0"/>
        <outline val="0"/>
        <shadow val="0"/>
        <u val="none"/>
        <vertAlign val="baseline"/>
        <sz val="10"/>
        <name val="Calibri"/>
        <family val="2"/>
        <scheme val="minor"/>
      </font>
      <alignment horizontal="left" vertical="top" textRotation="0" wrapText="0" indent="0" justifyLastLine="0" shrinkToFit="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9C0006"/>
      </font>
      <fill>
        <patternFill patternType="none">
          <bgColor auto="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1.xml"/><Relationship Id="rId19" Type="http://schemas.openxmlformats.org/officeDocument/2006/relationships/sheetMetadata" Target="metadata.xml"/><Relationship Id="rId31" Type="http://schemas.openxmlformats.org/officeDocument/2006/relationships/customXml" Target="../customXml/item11.xml"/><Relationship Id="rId44" Type="http://schemas.openxmlformats.org/officeDocument/2006/relationships/customXml" Target="../customXml/item2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20" Type="http://schemas.openxmlformats.org/officeDocument/2006/relationships/calcChain" Target="calcChain.xml"/><Relationship Id="rId41"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Project RAG</a:t>
            </a:r>
            <a:r>
              <a:rPr lang="pl-PL" baseline="0"/>
              <a:t> Status</a:t>
            </a:r>
            <a:endParaRPr lang="en-US"/>
          </a:p>
        </c:rich>
      </c:tx>
      <c:layout>
        <c:manualLayout>
          <c:xMode val="edge"/>
          <c:yMode val="edge"/>
          <c:x val="0.38214653887728084"/>
          <c:y val="6.789020805833637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Dashboard'!$B$3:$B$4</c:f>
              <c:strCache>
                <c:ptCount val="1"/>
                <c:pt idx="0">
                  <c:v>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c:f>
              <c:strCache>
                <c:ptCount val="1"/>
                <c:pt idx="0">
                  <c:v>Total</c:v>
                </c:pt>
              </c:strCache>
            </c:strRef>
          </c:cat>
          <c:val>
            <c:numRef>
              <c:f>'Governance Dashboard'!$B$5</c:f>
              <c:numCache>
                <c:formatCode>General</c:formatCode>
                <c:ptCount val="1"/>
                <c:pt idx="0">
                  <c:v>11</c:v>
                </c:pt>
              </c:numCache>
            </c:numRef>
          </c:val>
          <c:extLst>
            <c:ext xmlns:c16="http://schemas.microsoft.com/office/drawing/2014/chart" uri="{C3380CC4-5D6E-409C-BE32-E72D297353CC}">
              <c16:uniqueId val="{00000000-DE09-4664-894D-52E50AEA8240}"/>
            </c:ext>
          </c:extLst>
        </c:ser>
        <c:ser>
          <c:idx val="1"/>
          <c:order val="1"/>
          <c:tx>
            <c:strRef>
              <c:f>'Governance Dashboard'!$C$3:$C$4</c:f>
              <c:strCache>
                <c:ptCount val="1"/>
                <c:pt idx="0">
                  <c:v>Y</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c:f>
              <c:strCache>
                <c:ptCount val="1"/>
                <c:pt idx="0">
                  <c:v>Total</c:v>
                </c:pt>
              </c:strCache>
            </c:strRef>
          </c:cat>
          <c:val>
            <c:numRef>
              <c:f>'Governance Dashboard'!$C$5</c:f>
              <c:numCache>
                <c:formatCode>General</c:formatCode>
                <c:ptCount val="1"/>
                <c:pt idx="0">
                  <c:v>12</c:v>
                </c:pt>
              </c:numCache>
            </c:numRef>
          </c:val>
          <c:extLst>
            <c:ext xmlns:c16="http://schemas.microsoft.com/office/drawing/2014/chart" uri="{C3380CC4-5D6E-409C-BE32-E72D297353CC}">
              <c16:uniqueId val="{00000001-35A2-41B9-AB74-1A1F65BC469F}"/>
            </c:ext>
          </c:extLst>
        </c:ser>
        <c:dLbls>
          <c:dLblPos val="outEnd"/>
          <c:showLegendKey val="0"/>
          <c:showVal val="1"/>
          <c:showCatName val="0"/>
          <c:showSerName val="0"/>
          <c:showPercent val="0"/>
          <c:showBubbleSize val="0"/>
        </c:dLbls>
        <c:gapWidth val="219"/>
        <c:overlap val="-27"/>
        <c:axId val="1173749648"/>
        <c:axId val="256536111"/>
      </c:barChart>
      <c:catAx>
        <c:axId val="1173749648"/>
        <c:scaling>
          <c:orientation val="minMax"/>
        </c:scaling>
        <c:delete val="1"/>
        <c:axPos val="b"/>
        <c:numFmt formatCode="General" sourceLinked="1"/>
        <c:majorTickMark val="none"/>
        <c:minorTickMark val="none"/>
        <c:tickLblPos val="nextTo"/>
        <c:crossAx val="256536111"/>
        <c:crosses val="autoZero"/>
        <c:auto val="1"/>
        <c:lblAlgn val="ctr"/>
        <c:lblOffset val="100"/>
        <c:noMultiLvlLbl val="0"/>
      </c:catAx>
      <c:valAx>
        <c:axId val="256536111"/>
        <c:scaling>
          <c:orientation val="minMax"/>
        </c:scaling>
        <c:delete val="1"/>
        <c:axPos val="l"/>
        <c:numFmt formatCode="General" sourceLinked="1"/>
        <c:majorTickMark val="none"/>
        <c:minorTickMark val="none"/>
        <c:tickLblPos val="nextTo"/>
        <c:crossAx val="1173749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Milestone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'Governance Dashboard'!$H$1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352F-4561-9541-45BE8E36DA54}"/>
              </c:ext>
            </c:extLst>
          </c:dPt>
          <c:dPt>
            <c:idx val="1"/>
            <c:bubble3D val="0"/>
            <c:spPr>
              <a:solidFill>
                <a:schemeClr val="accent2"/>
              </a:solidFill>
              <a:ln>
                <a:noFill/>
              </a:ln>
              <a:effectLst/>
            </c:spPr>
            <c:extLst>
              <c:ext xmlns:c16="http://schemas.microsoft.com/office/drawing/2014/chart" uri="{C3380CC4-5D6E-409C-BE32-E72D297353CC}">
                <c16:uniqueId val="{00000003-352F-4561-9541-45BE8E36DA54}"/>
              </c:ext>
            </c:extLst>
          </c:dPt>
          <c:dPt>
            <c:idx val="2"/>
            <c:bubble3D val="0"/>
            <c:spPr>
              <a:solidFill>
                <a:schemeClr val="accent3"/>
              </a:solidFill>
              <a:ln>
                <a:noFill/>
              </a:ln>
              <a:effectLst/>
            </c:spPr>
            <c:extLst>
              <c:ext xmlns:c16="http://schemas.microsoft.com/office/drawing/2014/chart" uri="{C3380CC4-5D6E-409C-BE32-E72D297353CC}">
                <c16:uniqueId val="{00000005-352F-4561-9541-45BE8E36DA54}"/>
              </c:ext>
            </c:extLst>
          </c:dPt>
          <c:dPt>
            <c:idx val="3"/>
            <c:bubble3D val="0"/>
            <c:spPr>
              <a:solidFill>
                <a:schemeClr val="accent4"/>
              </a:solidFill>
              <a:ln>
                <a:noFill/>
              </a:ln>
              <a:effectLst/>
            </c:spPr>
            <c:extLst>
              <c:ext xmlns:c16="http://schemas.microsoft.com/office/drawing/2014/chart" uri="{C3380CC4-5D6E-409C-BE32-E72D297353CC}">
                <c16:uniqueId val="{00000007-352F-4561-9541-45BE8E36DA54}"/>
              </c:ext>
            </c:extLst>
          </c:dPt>
          <c:dPt>
            <c:idx val="4"/>
            <c:bubble3D val="0"/>
            <c:spPr>
              <a:solidFill>
                <a:schemeClr val="accent5"/>
              </a:solidFill>
              <a:ln>
                <a:noFill/>
              </a:ln>
              <a:effectLst/>
            </c:spPr>
            <c:extLst>
              <c:ext xmlns:c16="http://schemas.microsoft.com/office/drawing/2014/chart" uri="{C3380CC4-5D6E-409C-BE32-E72D297353CC}">
                <c16:uniqueId val="{00000009-70BC-4D61-9CF3-F5F457185E3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'Governance Dashboard'!$G$2:$G$7</c:f>
              <c:strCache>
                <c:ptCount val="5"/>
                <c:pt idx="0">
                  <c:v>Closed Complete</c:v>
                </c:pt>
                <c:pt idx="1">
                  <c:v>Open</c:v>
                </c:pt>
                <c:pt idx="2">
                  <c:v>Pending</c:v>
                </c:pt>
                <c:pt idx="3">
                  <c:v>Work in Progress</c:v>
                </c:pt>
                <c:pt idx="4">
                  <c:v>Pending Customer</c:v>
                </c:pt>
              </c:strCache>
            </c:strRef>
          </c:cat>
          <c:val>
            <c:numRef>
              <c:f>'Governance Dashboard'!$H$2:$H$7</c:f>
              <c:numCache>
                <c:formatCode>General</c:formatCode>
                <c:ptCount val="5"/>
                <c:pt idx="0">
                  <c:v>67</c:v>
                </c:pt>
                <c:pt idx="1">
                  <c:v>5</c:v>
                </c:pt>
                <c:pt idx="2">
                  <c:v>43</c:v>
                </c:pt>
                <c:pt idx="3">
                  <c:v>20</c:v>
                </c:pt>
                <c:pt idx="4">
                  <c:v>5</c:v>
                </c:pt>
              </c:numCache>
            </c:numRef>
          </c:val>
          <c:extLst>
            <c:ext xmlns:c16="http://schemas.microsoft.com/office/drawing/2014/chart" uri="{C3380CC4-5D6E-409C-BE32-E72D297353CC}">
              <c16:uniqueId val="{00000000-7861-4F9E-8E57-6A760A17828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Risk Value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Dashboard'!$B$20:$B$21</c:f>
              <c:strCache>
                <c:ptCount val="1"/>
                <c:pt idx="0">
                  <c:v>2 - Medium</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Dashboard'!$A$22</c:f>
              <c:strCache>
                <c:ptCount val="1"/>
                <c:pt idx="0">
                  <c:v>Total</c:v>
                </c:pt>
              </c:strCache>
            </c:strRef>
          </c:cat>
          <c:val>
            <c:numRef>
              <c:f>'Governance Dashboard'!$B$22</c:f>
              <c:numCache>
                <c:formatCode>General</c:formatCode>
                <c:ptCount val="1"/>
                <c:pt idx="0">
                  <c:v>4</c:v>
                </c:pt>
              </c:numCache>
            </c:numRef>
          </c:val>
          <c:extLst>
            <c:ext xmlns:c16="http://schemas.microsoft.com/office/drawing/2014/chart" uri="{C3380CC4-5D6E-409C-BE32-E72D297353CC}">
              <c16:uniqueId val="{00000000-23A0-45C1-9CA8-25EE840C62AB}"/>
            </c:ext>
          </c:extLst>
        </c:ser>
        <c:ser>
          <c:idx val="1"/>
          <c:order val="1"/>
          <c:tx>
            <c:strRef>
              <c:f>'Governance Dashboard'!$C$20:$C$21</c:f>
              <c:strCache>
                <c:ptCount val="1"/>
                <c:pt idx="0">
                  <c:v>3 - Low</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Dashboard'!$A$22</c:f>
              <c:strCache>
                <c:ptCount val="1"/>
                <c:pt idx="0">
                  <c:v>Total</c:v>
                </c:pt>
              </c:strCache>
            </c:strRef>
          </c:cat>
          <c:val>
            <c:numRef>
              <c:f>'Governance Dashboard'!$C$22</c:f>
              <c:numCache>
                <c:formatCode>General</c:formatCode>
                <c:ptCount val="1"/>
                <c:pt idx="0">
                  <c:v>1</c:v>
                </c:pt>
              </c:numCache>
            </c:numRef>
          </c:val>
          <c:extLst>
            <c:ext xmlns:c16="http://schemas.microsoft.com/office/drawing/2014/chart" uri="{C3380CC4-5D6E-409C-BE32-E72D297353CC}">
              <c16:uniqueId val="{00000002-23A0-45C1-9CA8-25EE840C62AB}"/>
            </c:ext>
          </c:extLst>
        </c:ser>
        <c:dLbls>
          <c:dLblPos val="outEnd"/>
          <c:showLegendKey val="0"/>
          <c:showVal val="1"/>
          <c:showCatName val="0"/>
          <c:showSerName val="0"/>
          <c:showPercent val="0"/>
          <c:showBubbleSize val="0"/>
        </c:dLbls>
        <c:gapWidth val="219"/>
        <c:overlap val="-27"/>
        <c:axId val="374041407"/>
        <c:axId val="242864191"/>
      </c:barChart>
      <c:catAx>
        <c:axId val="374041407"/>
        <c:scaling>
          <c:orientation val="minMax"/>
        </c:scaling>
        <c:delete val="1"/>
        <c:axPos val="b"/>
        <c:numFmt formatCode="General" sourceLinked="1"/>
        <c:majorTickMark val="none"/>
        <c:minorTickMark val="none"/>
        <c:tickLblPos val="nextTo"/>
        <c:crossAx val="242864191"/>
        <c:crosses val="autoZero"/>
        <c:auto val="1"/>
        <c:lblAlgn val="ctr"/>
        <c:lblOffset val="100"/>
        <c:noMultiLvlLbl val="0"/>
      </c:catAx>
      <c:valAx>
        <c:axId val="242864191"/>
        <c:scaling>
          <c:orientation val="minMax"/>
        </c:scaling>
        <c:delete val="1"/>
        <c:axPos val="l"/>
        <c:numFmt formatCode="General" sourceLinked="1"/>
        <c:majorTickMark val="none"/>
        <c:minorTickMark val="none"/>
        <c:tickLblPos val="nextTo"/>
        <c:crossAx val="374041407"/>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Project Phase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20000"/>
              <a:lumOff val="80000"/>
            </a:schemeClr>
          </a:solidFill>
          <a:ln>
            <a:noFill/>
          </a:ln>
          <a:effectLst/>
        </c:spPr>
      </c:pivotFmt>
      <c:pivotFmt>
        <c:idx val="2"/>
        <c:spPr>
          <a:solidFill>
            <a:srgbClr val="00B0F0"/>
          </a:solidFill>
          <a:ln>
            <a:noFill/>
          </a:ln>
          <a:effectLst/>
        </c:spPr>
      </c:pivotFmt>
      <c:pivotFmt>
        <c:idx val="3"/>
        <c:spPr>
          <a:solidFill>
            <a:schemeClr val="accent5"/>
          </a:solidFill>
          <a:ln>
            <a:noFill/>
          </a:ln>
          <a:effectLst/>
        </c:spPr>
      </c:pivotFmt>
    </c:pivotFmts>
    <c:plotArea>
      <c:layout/>
      <c:barChart>
        <c:barDir val="bar"/>
        <c:grouping val="clustered"/>
        <c:varyColors val="0"/>
        <c:ser>
          <c:idx val="0"/>
          <c:order val="0"/>
          <c:tx>
            <c:strRef>
              <c:f>'Governance Dashboard'!$H$18</c:f>
              <c:strCache>
                <c:ptCount val="1"/>
                <c:pt idx="0">
                  <c:v>Total</c:v>
                </c:pt>
              </c:strCache>
            </c:strRef>
          </c:tx>
          <c:spPr>
            <a:solidFill>
              <a:srgbClr val="002060"/>
            </a:solidFill>
            <a:ln>
              <a:noFill/>
            </a:ln>
            <a:effectLst/>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3-FC03-4F24-B9F5-EDDA96E8477C}"/>
              </c:ext>
            </c:extLst>
          </c:dPt>
          <c:dPt>
            <c:idx val="1"/>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02-FC03-4F24-B9F5-EDDA96E8477C}"/>
              </c:ext>
            </c:extLst>
          </c:dPt>
          <c:dPt>
            <c:idx val="2"/>
            <c:invertIfNegative val="0"/>
            <c:bubble3D val="0"/>
            <c:extLst>
              <c:ext xmlns:c16="http://schemas.microsoft.com/office/drawing/2014/chart" uri="{C3380CC4-5D6E-409C-BE32-E72D297353CC}">
                <c16:uniqueId val="{00000003-DB63-496A-988E-1A22966210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Dashboard'!$G$19:$G$22</c:f>
              <c:strCache>
                <c:ptCount val="3"/>
                <c:pt idx="0">
                  <c:v>Closing</c:v>
                </c:pt>
                <c:pt idx="1">
                  <c:v>Delivering</c:v>
                </c:pt>
                <c:pt idx="2">
                  <c:v>Initiating</c:v>
                </c:pt>
              </c:strCache>
            </c:strRef>
          </c:cat>
          <c:val>
            <c:numRef>
              <c:f>'Governance Dashboard'!$H$19:$H$22</c:f>
              <c:numCache>
                <c:formatCode>General</c:formatCode>
                <c:ptCount val="3"/>
                <c:pt idx="0">
                  <c:v>4</c:v>
                </c:pt>
                <c:pt idx="1">
                  <c:v>14</c:v>
                </c:pt>
                <c:pt idx="2">
                  <c:v>6</c:v>
                </c:pt>
              </c:numCache>
            </c:numRef>
          </c:val>
          <c:extLst>
            <c:ext xmlns:c16="http://schemas.microsoft.com/office/drawing/2014/chart" uri="{C3380CC4-5D6E-409C-BE32-E72D297353CC}">
              <c16:uniqueId val="{00000000-FC03-4F24-B9F5-EDDA96E8477C}"/>
            </c:ext>
          </c:extLst>
        </c:ser>
        <c:dLbls>
          <c:dLblPos val="outEnd"/>
          <c:showLegendKey val="0"/>
          <c:showVal val="1"/>
          <c:showCatName val="0"/>
          <c:showSerName val="0"/>
          <c:showPercent val="0"/>
          <c:showBubbleSize val="0"/>
        </c:dLbls>
        <c:gapWidth val="75"/>
        <c:axId val="1865735488"/>
        <c:axId val="1938325840"/>
      </c:barChart>
      <c:catAx>
        <c:axId val="18657354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8325840"/>
        <c:crosses val="autoZero"/>
        <c:auto val="1"/>
        <c:lblAlgn val="ctr"/>
        <c:lblOffset val="100"/>
        <c:noMultiLvlLbl val="0"/>
      </c:catAx>
      <c:valAx>
        <c:axId val="1938325840"/>
        <c:scaling>
          <c:orientation val="minMax"/>
        </c:scaling>
        <c:delete val="1"/>
        <c:axPos val="b"/>
        <c:numFmt formatCode="General" sourceLinked="1"/>
        <c:majorTickMark val="none"/>
        <c:minorTickMark val="none"/>
        <c:tickLblPos val="nextTo"/>
        <c:crossAx val="1865735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Issue Impact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Dashboard'!$B$37:$B$38</c:f>
              <c:strCache>
                <c:ptCount val="1"/>
                <c:pt idx="0">
                  <c:v>2 - Significant/Large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Dashboard'!$B$39</c:f>
              <c:numCache>
                <c:formatCode>General</c:formatCode>
                <c:ptCount val="1"/>
                <c:pt idx="0">
                  <c:v>9</c:v>
                </c:pt>
              </c:numCache>
            </c:numRef>
          </c:val>
          <c:extLst>
            <c:ext xmlns:c16="http://schemas.microsoft.com/office/drawing/2014/chart" uri="{C3380CC4-5D6E-409C-BE32-E72D297353CC}">
              <c16:uniqueId val="{00000000-276E-4A6F-9229-B54D0C36F18F}"/>
            </c:ext>
          </c:extLst>
        </c:ser>
        <c:ser>
          <c:idx val="1"/>
          <c:order val="1"/>
          <c:tx>
            <c:strRef>
              <c:f>'Governance Dashboard'!$C$37:$C$38</c:f>
              <c:strCache>
                <c:ptCount val="1"/>
                <c:pt idx="0">
                  <c:v>3 - Moderate/Limited</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Dashboard'!$C$39</c:f>
              <c:numCache>
                <c:formatCode>General</c:formatCode>
                <c:ptCount val="1"/>
                <c:pt idx="0">
                  <c:v>4</c:v>
                </c:pt>
              </c:numCache>
            </c:numRef>
          </c:val>
          <c:extLst>
            <c:ext xmlns:c16="http://schemas.microsoft.com/office/drawing/2014/chart" uri="{C3380CC4-5D6E-409C-BE32-E72D297353CC}">
              <c16:uniqueId val="{00000000-7FEF-49C4-841A-8FC3E9247373}"/>
            </c:ext>
          </c:extLst>
        </c:ser>
        <c:ser>
          <c:idx val="2"/>
          <c:order val="2"/>
          <c:tx>
            <c:strRef>
              <c:f>'Governance Dashboard'!$D$37:$D$38</c:f>
              <c:strCache>
                <c:ptCount val="1"/>
                <c:pt idx="0">
                  <c:v>4 - Minor/Localised</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Dashboard'!$D$39</c:f>
              <c:numCache>
                <c:formatCode>General</c:formatCode>
                <c:ptCount val="1"/>
                <c:pt idx="0">
                  <c:v>4</c:v>
                </c:pt>
              </c:numCache>
            </c:numRef>
          </c:val>
          <c:extLst>
            <c:ext xmlns:c16="http://schemas.microsoft.com/office/drawing/2014/chart" uri="{C3380CC4-5D6E-409C-BE32-E72D297353CC}">
              <c16:uniqueId val="{00000002-7FEF-49C4-841A-8FC3E9247373}"/>
            </c:ext>
          </c:extLst>
        </c:ser>
        <c:ser>
          <c:idx val="3"/>
          <c:order val="3"/>
          <c:tx>
            <c:strRef>
              <c:f>'Governance Dashboard'!$E$37:$E$38</c:f>
              <c:strCache>
                <c:ptCount val="1"/>
                <c:pt idx="0">
                  <c:v>1 - Extensive/Widespread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Dashboard'!$E$39</c:f>
              <c:numCache>
                <c:formatCode>General</c:formatCode>
                <c:ptCount val="1"/>
                <c:pt idx="0">
                  <c:v>1</c:v>
                </c:pt>
              </c:numCache>
            </c:numRef>
          </c:val>
          <c:extLst>
            <c:ext xmlns:c16="http://schemas.microsoft.com/office/drawing/2014/chart" uri="{C3380CC4-5D6E-409C-BE32-E72D297353CC}">
              <c16:uniqueId val="{00000000-7ED0-4DA9-98E8-3A03C057EB24}"/>
            </c:ext>
          </c:extLst>
        </c:ser>
        <c:dLbls>
          <c:dLblPos val="outEnd"/>
          <c:showLegendKey val="0"/>
          <c:showVal val="1"/>
          <c:showCatName val="0"/>
          <c:showSerName val="0"/>
          <c:showPercent val="0"/>
          <c:showBubbleSize val="0"/>
        </c:dLbls>
        <c:gapWidth val="219"/>
        <c:overlap val="-27"/>
        <c:axId val="575068431"/>
        <c:axId val="530863247"/>
      </c:barChart>
      <c:catAx>
        <c:axId val="575068431"/>
        <c:scaling>
          <c:orientation val="minMax"/>
        </c:scaling>
        <c:delete val="1"/>
        <c:axPos val="b"/>
        <c:numFmt formatCode="General" sourceLinked="1"/>
        <c:majorTickMark val="none"/>
        <c:minorTickMark val="none"/>
        <c:tickLblPos val="nextTo"/>
        <c:crossAx val="530863247"/>
        <c:crosses val="autoZero"/>
        <c:auto val="1"/>
        <c:lblAlgn val="ctr"/>
        <c:lblOffset val="100"/>
        <c:noMultiLvlLbl val="0"/>
      </c:catAx>
      <c:valAx>
        <c:axId val="530863247"/>
        <c:scaling>
          <c:orientation val="minMax"/>
        </c:scaling>
        <c:delete val="1"/>
        <c:axPos val="l"/>
        <c:numFmt formatCode="General" sourceLinked="1"/>
        <c:majorTickMark val="none"/>
        <c:minorTickMark val="none"/>
        <c:tickLblPos val="nextTo"/>
        <c:crossAx val="575068431"/>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Issue Priority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Dashboard'!$I$37:$I$38</c:f>
              <c:strCache>
                <c:ptCount val="1"/>
                <c:pt idx="0">
                  <c:v>2 - High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Dashboard'!$H$39</c:f>
              <c:strCache>
                <c:ptCount val="1"/>
                <c:pt idx="0">
                  <c:v>Total</c:v>
                </c:pt>
              </c:strCache>
            </c:strRef>
          </c:cat>
          <c:val>
            <c:numRef>
              <c:f>'Governance Dashboard'!$I$39</c:f>
              <c:numCache>
                <c:formatCode>General</c:formatCode>
                <c:ptCount val="1"/>
                <c:pt idx="0">
                  <c:v>11</c:v>
                </c:pt>
              </c:numCache>
            </c:numRef>
          </c:val>
          <c:extLst>
            <c:ext xmlns:c16="http://schemas.microsoft.com/office/drawing/2014/chart" uri="{C3380CC4-5D6E-409C-BE32-E72D297353CC}">
              <c16:uniqueId val="{00000000-F3F8-497B-A31B-27295FB05F60}"/>
            </c:ext>
          </c:extLst>
        </c:ser>
        <c:ser>
          <c:idx val="1"/>
          <c:order val="1"/>
          <c:tx>
            <c:strRef>
              <c:f>'Governance Dashboard'!$J$37:$J$38</c:f>
              <c:strCache>
                <c:ptCount val="1"/>
                <c:pt idx="0">
                  <c:v>3 - Moderate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Dashboard'!$H$39</c:f>
              <c:strCache>
                <c:ptCount val="1"/>
                <c:pt idx="0">
                  <c:v>Total</c:v>
                </c:pt>
              </c:strCache>
            </c:strRef>
          </c:cat>
          <c:val>
            <c:numRef>
              <c:f>'Governance Dashboard'!$J$39</c:f>
              <c:numCache>
                <c:formatCode>General</c:formatCode>
                <c:ptCount val="1"/>
                <c:pt idx="0">
                  <c:v>5</c:v>
                </c:pt>
              </c:numCache>
            </c:numRef>
          </c:val>
          <c:extLst>
            <c:ext xmlns:c16="http://schemas.microsoft.com/office/drawing/2014/chart" uri="{C3380CC4-5D6E-409C-BE32-E72D297353CC}">
              <c16:uniqueId val="{00000000-E923-44EF-BC52-667532C4655C}"/>
            </c:ext>
          </c:extLst>
        </c:ser>
        <c:ser>
          <c:idx val="2"/>
          <c:order val="2"/>
          <c:tx>
            <c:strRef>
              <c:f>'Governance Dashboard'!$K$37:$K$38</c:f>
              <c:strCache>
                <c:ptCount val="1"/>
                <c:pt idx="0">
                  <c:v>4 - Low</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Dashboard'!$H$39</c:f>
              <c:strCache>
                <c:ptCount val="1"/>
                <c:pt idx="0">
                  <c:v>Total</c:v>
                </c:pt>
              </c:strCache>
            </c:strRef>
          </c:cat>
          <c:val>
            <c:numRef>
              <c:f>'Governance Dashboard'!$K$39</c:f>
              <c:numCache>
                <c:formatCode>General</c:formatCode>
                <c:ptCount val="1"/>
                <c:pt idx="0">
                  <c:v>2</c:v>
                </c:pt>
              </c:numCache>
            </c:numRef>
          </c:val>
          <c:extLst>
            <c:ext xmlns:c16="http://schemas.microsoft.com/office/drawing/2014/chart" uri="{C3380CC4-5D6E-409C-BE32-E72D297353CC}">
              <c16:uniqueId val="{00000000-F891-4B58-A15B-695244F06C66}"/>
            </c:ext>
          </c:extLst>
        </c:ser>
        <c:dLbls>
          <c:dLblPos val="outEnd"/>
          <c:showLegendKey val="0"/>
          <c:showVal val="1"/>
          <c:showCatName val="0"/>
          <c:showSerName val="0"/>
          <c:showPercent val="0"/>
          <c:showBubbleSize val="0"/>
        </c:dLbls>
        <c:gapWidth val="399"/>
        <c:overlap val="-27"/>
        <c:axId val="1760692447"/>
        <c:axId val="245473247"/>
      </c:barChart>
      <c:catAx>
        <c:axId val="1760692447"/>
        <c:scaling>
          <c:orientation val="minMax"/>
        </c:scaling>
        <c:delete val="1"/>
        <c:axPos val="b"/>
        <c:numFmt formatCode="General" sourceLinked="1"/>
        <c:majorTickMark val="none"/>
        <c:minorTickMark val="none"/>
        <c:tickLblPos val="nextTo"/>
        <c:crossAx val="245473247"/>
        <c:crosses val="autoZero"/>
        <c:auto val="1"/>
        <c:lblAlgn val="ctr"/>
        <c:lblOffset val="100"/>
        <c:noMultiLvlLbl val="0"/>
      </c:catAx>
      <c:valAx>
        <c:axId val="245473247"/>
        <c:scaling>
          <c:orientation val="minMax"/>
        </c:scaling>
        <c:delete val="1"/>
        <c:axPos val="l"/>
        <c:numFmt formatCode="General" sourceLinked="1"/>
        <c:majorTickMark val="none"/>
        <c:minorTickMark val="none"/>
        <c:tickLblPos val="nextTo"/>
        <c:crossAx val="1760692447"/>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baseline="0"/>
              <a:t>Closing Phase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pivotFmt>
    </c:pivotFmts>
    <c:plotArea>
      <c:layout/>
      <c:barChart>
        <c:barDir val="col"/>
        <c:grouping val="clustered"/>
        <c:varyColors val="0"/>
        <c:ser>
          <c:idx val="0"/>
          <c:order val="0"/>
          <c:tx>
            <c:strRef>
              <c:f>'Governance Dashboard'!$B$54:$B$55</c:f>
              <c:strCache>
                <c:ptCount val="1"/>
                <c:pt idx="0">
                  <c:v>Work in Progress</c:v>
                </c:pt>
              </c:strCache>
            </c:strRef>
          </c:tx>
          <c:spPr>
            <a:solidFill>
              <a:srgbClr val="00B0F0"/>
            </a:solidFill>
            <a:ln>
              <a:noFill/>
            </a:ln>
            <a:effectLst/>
          </c:spPr>
          <c:invertIfNegative val="0"/>
          <c:dPt>
            <c:idx val="0"/>
            <c:invertIfNegative val="0"/>
            <c:bubble3D val="0"/>
            <c:extLst>
              <c:ext xmlns:c16="http://schemas.microsoft.com/office/drawing/2014/chart" uri="{C3380CC4-5D6E-409C-BE32-E72D297353CC}">
                <c16:uniqueId val="{00000001-8277-4FB2-97A7-12FDBD553AE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Dashboard'!$A$56</c:f>
              <c:strCache>
                <c:ptCount val="1"/>
                <c:pt idx="0">
                  <c:v>Total</c:v>
                </c:pt>
              </c:strCache>
            </c:strRef>
          </c:cat>
          <c:val>
            <c:numRef>
              <c:f>'Governance Dashboard'!$B$56</c:f>
              <c:numCache>
                <c:formatCode>General</c:formatCode>
                <c:ptCount val="1"/>
                <c:pt idx="0">
                  <c:v>4</c:v>
                </c:pt>
              </c:numCache>
            </c:numRef>
          </c:val>
          <c:extLst>
            <c:ext xmlns:c16="http://schemas.microsoft.com/office/drawing/2014/chart" uri="{C3380CC4-5D6E-409C-BE32-E72D297353CC}">
              <c16:uniqueId val="{00000000-B374-4E75-82E8-01D4D6E4B2F2}"/>
            </c:ext>
          </c:extLst>
        </c:ser>
        <c:dLbls>
          <c:showLegendKey val="0"/>
          <c:showVal val="0"/>
          <c:showCatName val="0"/>
          <c:showSerName val="0"/>
          <c:showPercent val="0"/>
          <c:showBubbleSize val="0"/>
        </c:dLbls>
        <c:gapWidth val="455"/>
        <c:axId val="469768255"/>
        <c:axId val="520897999"/>
      </c:barChart>
      <c:catAx>
        <c:axId val="469768255"/>
        <c:scaling>
          <c:orientation val="minMax"/>
        </c:scaling>
        <c:delete val="1"/>
        <c:axPos val="b"/>
        <c:numFmt formatCode="General" sourceLinked="1"/>
        <c:majorTickMark val="none"/>
        <c:minorTickMark val="none"/>
        <c:tickLblPos val="nextTo"/>
        <c:crossAx val="520897999"/>
        <c:crosses val="autoZero"/>
        <c:auto val="1"/>
        <c:lblAlgn val="ctr"/>
        <c:lblOffset val="100"/>
        <c:noMultiLvlLbl val="0"/>
      </c:catAx>
      <c:valAx>
        <c:axId val="520897999"/>
        <c:scaling>
          <c:orientation val="minMax"/>
        </c:scaling>
        <c:delete val="1"/>
        <c:axPos val="l"/>
        <c:numFmt formatCode="General" sourceLinked="1"/>
        <c:majorTickMark val="none"/>
        <c:minorTickMark val="none"/>
        <c:tickLblPos val="nextTo"/>
        <c:crossAx val="469768255"/>
        <c:crosses val="autoZero"/>
        <c:crossBetween val="between"/>
      </c:valAx>
      <c:spPr>
        <a:noFill/>
        <a:ln>
          <a:noFill/>
        </a:ln>
        <a:effectLst>
          <a:softEdge rad="25400"/>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Inititation Phase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Dashboard'!$H$54:$H$55</c:f>
              <c:strCache>
                <c:ptCount val="1"/>
                <c:pt idx="0">
                  <c:v>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Dashboard'!$G$56</c:f>
              <c:strCache>
                <c:ptCount val="1"/>
                <c:pt idx="0">
                  <c:v>Total</c:v>
                </c:pt>
              </c:strCache>
            </c:strRef>
          </c:cat>
          <c:val>
            <c:numRef>
              <c:f>'Governance Dashboard'!$H$56</c:f>
              <c:numCache>
                <c:formatCode>General</c:formatCode>
                <c:ptCount val="1"/>
                <c:pt idx="0">
                  <c:v>5</c:v>
                </c:pt>
              </c:numCache>
            </c:numRef>
          </c:val>
          <c:extLst>
            <c:ext xmlns:c16="http://schemas.microsoft.com/office/drawing/2014/chart" uri="{C3380CC4-5D6E-409C-BE32-E72D297353CC}">
              <c16:uniqueId val="{00000003-8A2C-4B3F-A2AB-043129759F7C}"/>
            </c:ext>
          </c:extLst>
        </c:ser>
        <c:ser>
          <c:idx val="1"/>
          <c:order val="1"/>
          <c:tx>
            <c:strRef>
              <c:f>'Governance Dashboard'!$I$54:$I$55</c:f>
              <c:strCache>
                <c:ptCount val="1"/>
                <c:pt idx="0">
                  <c:v>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Dashboard'!$G$56</c:f>
              <c:strCache>
                <c:ptCount val="1"/>
                <c:pt idx="0">
                  <c:v>Total</c:v>
                </c:pt>
              </c:strCache>
            </c:strRef>
          </c:cat>
          <c:val>
            <c:numRef>
              <c:f>'Governance Dashboard'!$I$56</c:f>
              <c:numCache>
                <c:formatCode>General</c:formatCode>
                <c:ptCount val="1"/>
                <c:pt idx="0">
                  <c:v>1</c:v>
                </c:pt>
              </c:numCache>
            </c:numRef>
          </c:val>
          <c:extLst>
            <c:ext xmlns:c16="http://schemas.microsoft.com/office/drawing/2014/chart" uri="{C3380CC4-5D6E-409C-BE32-E72D297353CC}">
              <c16:uniqueId val="{00000000-2B1F-479E-9C1C-67CA7A2433F2}"/>
            </c:ext>
          </c:extLst>
        </c:ser>
        <c:dLbls>
          <c:dLblPos val="outEnd"/>
          <c:showLegendKey val="0"/>
          <c:showVal val="1"/>
          <c:showCatName val="0"/>
          <c:showSerName val="0"/>
          <c:showPercent val="0"/>
          <c:showBubbleSize val="0"/>
        </c:dLbls>
        <c:gapWidth val="410"/>
        <c:overlap val="-26"/>
        <c:axId val="2137067023"/>
        <c:axId val="520886479"/>
      </c:barChart>
      <c:catAx>
        <c:axId val="2137067023"/>
        <c:scaling>
          <c:orientation val="minMax"/>
        </c:scaling>
        <c:delete val="1"/>
        <c:axPos val="b"/>
        <c:numFmt formatCode="General" sourceLinked="1"/>
        <c:majorTickMark val="none"/>
        <c:minorTickMark val="none"/>
        <c:tickLblPos val="nextTo"/>
        <c:crossAx val="520886479"/>
        <c:crosses val="autoZero"/>
        <c:auto val="1"/>
        <c:lblAlgn val="ctr"/>
        <c:lblOffset val="100"/>
        <c:noMultiLvlLbl val="0"/>
      </c:catAx>
      <c:valAx>
        <c:axId val="520886479"/>
        <c:scaling>
          <c:orientation val="minMax"/>
        </c:scaling>
        <c:delete val="1"/>
        <c:axPos val="l"/>
        <c:numFmt formatCode="General" sourceLinked="1"/>
        <c:majorTickMark val="none"/>
        <c:minorTickMark val="none"/>
        <c:tickLblPos val="nextTo"/>
        <c:crossAx val="2137067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alpha val="98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Delivering Phase</a:t>
            </a:r>
            <a:r>
              <a:rPr lang="pl-PL" baseline="0"/>
              <a:t>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Dashboard'!$B$71:$B$72</c:f>
              <c:strCache>
                <c:ptCount val="1"/>
                <c:pt idx="0">
                  <c:v>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Dashboard'!$A$73</c:f>
              <c:strCache>
                <c:ptCount val="1"/>
                <c:pt idx="0">
                  <c:v>Total</c:v>
                </c:pt>
              </c:strCache>
            </c:strRef>
          </c:cat>
          <c:val>
            <c:numRef>
              <c:f>'Governance Dashboard'!$B$73</c:f>
              <c:numCache>
                <c:formatCode>General</c:formatCode>
                <c:ptCount val="1"/>
                <c:pt idx="0">
                  <c:v>5</c:v>
                </c:pt>
              </c:numCache>
            </c:numRef>
          </c:val>
          <c:extLst>
            <c:ext xmlns:c16="http://schemas.microsoft.com/office/drawing/2014/chart" uri="{C3380CC4-5D6E-409C-BE32-E72D297353CC}">
              <c16:uniqueId val="{00000004-1E5C-4450-9022-75152875C777}"/>
            </c:ext>
          </c:extLst>
        </c:ser>
        <c:ser>
          <c:idx val="1"/>
          <c:order val="1"/>
          <c:tx>
            <c:strRef>
              <c:f>'Governance Dashboard'!$C$71:$C$72</c:f>
              <c:strCache>
                <c:ptCount val="1"/>
                <c:pt idx="0">
                  <c:v>Y</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Dashboard'!$A$73</c:f>
              <c:strCache>
                <c:ptCount val="1"/>
                <c:pt idx="0">
                  <c:v>Total</c:v>
                </c:pt>
              </c:strCache>
            </c:strRef>
          </c:cat>
          <c:val>
            <c:numRef>
              <c:f>'Governance Dashboard'!$C$73</c:f>
              <c:numCache>
                <c:formatCode>General</c:formatCode>
                <c:ptCount val="1"/>
                <c:pt idx="0">
                  <c:v>8</c:v>
                </c:pt>
              </c:numCache>
            </c:numRef>
          </c:val>
          <c:extLst>
            <c:ext xmlns:c16="http://schemas.microsoft.com/office/drawing/2014/chart" uri="{C3380CC4-5D6E-409C-BE32-E72D297353CC}">
              <c16:uniqueId val="{00000001-C7CF-4692-93D7-4D244CD13414}"/>
            </c:ext>
          </c:extLst>
        </c:ser>
        <c:dLbls>
          <c:showLegendKey val="0"/>
          <c:showVal val="0"/>
          <c:showCatName val="0"/>
          <c:showSerName val="0"/>
          <c:showPercent val="0"/>
          <c:showBubbleSize val="0"/>
        </c:dLbls>
        <c:gapWidth val="219"/>
        <c:overlap val="-27"/>
        <c:axId val="589880672"/>
        <c:axId val="520910479"/>
      </c:barChart>
      <c:catAx>
        <c:axId val="589880672"/>
        <c:scaling>
          <c:orientation val="minMax"/>
        </c:scaling>
        <c:delete val="1"/>
        <c:axPos val="b"/>
        <c:numFmt formatCode="General" sourceLinked="1"/>
        <c:majorTickMark val="none"/>
        <c:minorTickMark val="none"/>
        <c:tickLblPos val="nextTo"/>
        <c:crossAx val="520910479"/>
        <c:crosses val="autoZero"/>
        <c:auto val="1"/>
        <c:lblAlgn val="ctr"/>
        <c:lblOffset val="100"/>
        <c:noMultiLvlLbl val="0"/>
      </c:catAx>
      <c:valAx>
        <c:axId val="520910479"/>
        <c:scaling>
          <c:orientation val="minMax"/>
        </c:scaling>
        <c:delete val="1"/>
        <c:axPos val="l"/>
        <c:numFmt formatCode="General" sourceLinked="1"/>
        <c:majorTickMark val="none"/>
        <c:minorTickMark val="none"/>
        <c:tickLblPos val="nextTo"/>
        <c:crossAx val="589880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Inititation Phase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Dashboard'!$H$71:$H$72</c:f>
              <c:strCache>
                <c:ptCount val="1"/>
                <c:pt idx="0">
                  <c:v>Pending</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Dashboard'!$G$73</c:f>
              <c:strCache>
                <c:ptCount val="1"/>
                <c:pt idx="0">
                  <c:v>Total</c:v>
                </c:pt>
              </c:strCache>
            </c:strRef>
          </c:cat>
          <c:val>
            <c:numRef>
              <c:f>'Governance Dashboard'!$H$73</c:f>
              <c:numCache>
                <c:formatCode>General</c:formatCode>
                <c:ptCount val="1"/>
                <c:pt idx="0">
                  <c:v>5</c:v>
                </c:pt>
              </c:numCache>
            </c:numRef>
          </c:val>
          <c:extLst>
            <c:ext xmlns:c16="http://schemas.microsoft.com/office/drawing/2014/chart" uri="{C3380CC4-5D6E-409C-BE32-E72D297353CC}">
              <c16:uniqueId val="{00000000-1A30-473E-94B7-B4B84334F0B8}"/>
            </c:ext>
          </c:extLst>
        </c:ser>
        <c:ser>
          <c:idx val="1"/>
          <c:order val="1"/>
          <c:tx>
            <c:strRef>
              <c:f>'Governance Dashboard'!$I$71:$I$72</c:f>
              <c:strCache>
                <c:ptCount val="1"/>
                <c:pt idx="0">
                  <c:v>Work in Progress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Dashboard'!$G$73</c:f>
              <c:strCache>
                <c:ptCount val="1"/>
                <c:pt idx="0">
                  <c:v>Total</c:v>
                </c:pt>
              </c:strCache>
            </c:strRef>
          </c:cat>
          <c:val>
            <c:numRef>
              <c:f>'Governance Dashboard'!$I$73</c:f>
              <c:numCache>
                <c:formatCode>General</c:formatCode>
                <c:ptCount val="1"/>
                <c:pt idx="0">
                  <c:v>1</c:v>
                </c:pt>
              </c:numCache>
            </c:numRef>
          </c:val>
          <c:extLst>
            <c:ext xmlns:c16="http://schemas.microsoft.com/office/drawing/2014/chart" uri="{C3380CC4-5D6E-409C-BE32-E72D297353CC}">
              <c16:uniqueId val="{00000000-0192-4C53-8965-CCE9AF0FAF7D}"/>
            </c:ext>
          </c:extLst>
        </c:ser>
        <c:dLbls>
          <c:dLblPos val="outEnd"/>
          <c:showLegendKey val="0"/>
          <c:showVal val="1"/>
          <c:showCatName val="0"/>
          <c:showSerName val="0"/>
          <c:showPercent val="0"/>
          <c:showBubbleSize val="0"/>
        </c:dLbls>
        <c:gapWidth val="318"/>
        <c:overlap val="-27"/>
        <c:axId val="504964239"/>
        <c:axId val="520884079"/>
      </c:barChart>
      <c:catAx>
        <c:axId val="504964239"/>
        <c:scaling>
          <c:orientation val="minMax"/>
        </c:scaling>
        <c:delete val="1"/>
        <c:axPos val="b"/>
        <c:numFmt formatCode="General" sourceLinked="1"/>
        <c:majorTickMark val="none"/>
        <c:minorTickMark val="none"/>
        <c:tickLblPos val="nextTo"/>
        <c:crossAx val="520884079"/>
        <c:crosses val="autoZero"/>
        <c:auto val="1"/>
        <c:lblAlgn val="ctr"/>
        <c:lblOffset val="100"/>
        <c:noMultiLvlLbl val="0"/>
      </c:catAx>
      <c:valAx>
        <c:axId val="5208840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64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Closing</a:t>
            </a:r>
            <a:r>
              <a:rPr lang="pl-PL" baseline="0"/>
              <a:t> Phase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Dashboard'!$B$88:$B$89</c:f>
              <c:strCache>
                <c:ptCount val="1"/>
                <c:pt idx="0">
                  <c:v>G</c:v>
                </c:pt>
              </c:strCache>
            </c:strRef>
          </c:tx>
          <c:spPr>
            <a:solidFill>
              <a:schemeClr val="accent6"/>
            </a:solidFill>
            <a:ln>
              <a:noFill/>
            </a:ln>
            <a:effectLst/>
          </c:spPr>
          <c:invertIfNegative val="0"/>
          <c:cat>
            <c:strRef>
              <c:f>'Governance Dashboard'!$A$90</c:f>
              <c:strCache>
                <c:ptCount val="1"/>
                <c:pt idx="0">
                  <c:v>Total</c:v>
                </c:pt>
              </c:strCache>
            </c:strRef>
          </c:cat>
          <c:val>
            <c:numRef>
              <c:f>'Governance Dashboard'!$B$90</c:f>
              <c:numCache>
                <c:formatCode>General</c:formatCode>
                <c:ptCount val="1"/>
                <c:pt idx="0">
                  <c:v>1</c:v>
                </c:pt>
              </c:numCache>
            </c:numRef>
          </c:val>
          <c:extLst>
            <c:ext xmlns:c16="http://schemas.microsoft.com/office/drawing/2014/chart" uri="{C3380CC4-5D6E-409C-BE32-E72D297353CC}">
              <c16:uniqueId val="{00000000-FF51-450D-9E9A-397887EF6074}"/>
            </c:ext>
          </c:extLst>
        </c:ser>
        <c:ser>
          <c:idx val="1"/>
          <c:order val="1"/>
          <c:tx>
            <c:strRef>
              <c:f>'Governance Dashboard'!$C$88:$C$89</c:f>
              <c:strCache>
                <c:ptCount val="1"/>
                <c:pt idx="0">
                  <c:v>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Dashboard'!$A$90</c:f>
              <c:strCache>
                <c:ptCount val="1"/>
                <c:pt idx="0">
                  <c:v>Total</c:v>
                </c:pt>
              </c:strCache>
            </c:strRef>
          </c:cat>
          <c:val>
            <c:numRef>
              <c:f>'Governance Dashboard'!$C$90</c:f>
              <c:numCache>
                <c:formatCode>General</c:formatCode>
                <c:ptCount val="1"/>
                <c:pt idx="0">
                  <c:v>3</c:v>
                </c:pt>
              </c:numCache>
            </c:numRef>
          </c:val>
          <c:extLst>
            <c:ext xmlns:c16="http://schemas.microsoft.com/office/drawing/2014/chart" uri="{C3380CC4-5D6E-409C-BE32-E72D297353CC}">
              <c16:uniqueId val="{00000000-671E-42A2-AA92-3398C5F50EE0}"/>
            </c:ext>
          </c:extLst>
        </c:ser>
        <c:dLbls>
          <c:showLegendKey val="0"/>
          <c:showVal val="0"/>
          <c:showCatName val="0"/>
          <c:showSerName val="0"/>
          <c:showPercent val="0"/>
          <c:showBubbleSize val="0"/>
        </c:dLbls>
        <c:gapWidth val="219"/>
        <c:overlap val="-27"/>
        <c:axId val="2143938959"/>
        <c:axId val="462700848"/>
      </c:barChart>
      <c:catAx>
        <c:axId val="2143938959"/>
        <c:scaling>
          <c:orientation val="minMax"/>
        </c:scaling>
        <c:delete val="1"/>
        <c:axPos val="b"/>
        <c:numFmt formatCode="General" sourceLinked="1"/>
        <c:majorTickMark val="none"/>
        <c:minorTickMark val="none"/>
        <c:tickLblPos val="nextTo"/>
        <c:crossAx val="462700848"/>
        <c:crosses val="autoZero"/>
        <c:auto val="1"/>
        <c:lblAlgn val="ctr"/>
        <c:lblOffset val="100"/>
        <c:noMultiLvlLbl val="0"/>
      </c:catAx>
      <c:valAx>
        <c:axId val="462700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938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Delivering Phase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Dashboard'!$H$88:$H$89</c:f>
              <c:strCache>
                <c:ptCount val="1"/>
                <c:pt idx="0">
                  <c:v>Pending Customer</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Dashboard'!$G$90</c:f>
              <c:strCache>
                <c:ptCount val="1"/>
                <c:pt idx="0">
                  <c:v>Total</c:v>
                </c:pt>
              </c:strCache>
            </c:strRef>
          </c:cat>
          <c:val>
            <c:numRef>
              <c:f>'Governance Dashboard'!$H$90</c:f>
              <c:numCache>
                <c:formatCode>General</c:formatCode>
                <c:ptCount val="1"/>
                <c:pt idx="0">
                  <c:v>1</c:v>
                </c:pt>
              </c:numCache>
            </c:numRef>
          </c:val>
          <c:extLst>
            <c:ext xmlns:c16="http://schemas.microsoft.com/office/drawing/2014/chart" uri="{C3380CC4-5D6E-409C-BE32-E72D297353CC}">
              <c16:uniqueId val="{00000000-CA4A-419F-BA4A-488126C8BB6A}"/>
            </c:ext>
          </c:extLst>
        </c:ser>
        <c:ser>
          <c:idx val="1"/>
          <c:order val="1"/>
          <c:tx>
            <c:strRef>
              <c:f>'Governance Dashboard'!$I$88:$I$89</c:f>
              <c:strCache>
                <c:ptCount val="1"/>
                <c:pt idx="0">
                  <c:v>Work in Progress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Dashboard'!$G$90</c:f>
              <c:strCache>
                <c:ptCount val="1"/>
                <c:pt idx="0">
                  <c:v>Total</c:v>
                </c:pt>
              </c:strCache>
            </c:strRef>
          </c:cat>
          <c:val>
            <c:numRef>
              <c:f>'Governance Dashboard'!$I$90</c:f>
              <c:numCache>
                <c:formatCode>General</c:formatCode>
                <c:ptCount val="1"/>
                <c:pt idx="0">
                  <c:v>13</c:v>
                </c:pt>
              </c:numCache>
            </c:numRef>
          </c:val>
          <c:extLst>
            <c:ext xmlns:c16="http://schemas.microsoft.com/office/drawing/2014/chart" uri="{C3380CC4-5D6E-409C-BE32-E72D297353CC}">
              <c16:uniqueId val="{00000000-65EF-4BF4-B3CC-04AE88AC0C40}"/>
            </c:ext>
          </c:extLst>
        </c:ser>
        <c:dLbls>
          <c:showLegendKey val="0"/>
          <c:showVal val="0"/>
          <c:showCatName val="0"/>
          <c:showSerName val="0"/>
          <c:showPercent val="0"/>
          <c:showBubbleSize val="0"/>
        </c:dLbls>
        <c:gapWidth val="453"/>
        <c:overlap val="-27"/>
        <c:axId val="569753280"/>
        <c:axId val="462687888"/>
      </c:barChart>
      <c:catAx>
        <c:axId val="569753280"/>
        <c:scaling>
          <c:orientation val="minMax"/>
        </c:scaling>
        <c:delete val="1"/>
        <c:axPos val="b"/>
        <c:numFmt formatCode="General" sourceLinked="1"/>
        <c:majorTickMark val="none"/>
        <c:minorTickMark val="none"/>
        <c:tickLblPos val="nextTo"/>
        <c:crossAx val="462687888"/>
        <c:crosses val="autoZero"/>
        <c:auto val="1"/>
        <c:lblAlgn val="ctr"/>
        <c:lblOffset val="100"/>
        <c:noMultiLvlLbl val="0"/>
      </c:catAx>
      <c:valAx>
        <c:axId val="4626878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53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emf"/><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7620</xdr:rowOff>
        </xdr:from>
        <xdr:to>
          <xdr:col>1</xdr:col>
          <xdr:colOff>601980</xdr:colOff>
          <xdr:row>6</xdr:row>
          <xdr:rowOff>60960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000" b="0" i="0" u="none" strike="noStrike" baseline="0">
                  <a:solidFill>
                    <a:srgbClr val="000000"/>
                  </a:solidFill>
                  <a:latin typeface="Calibri"/>
                  <a:ea typeface="Calibri"/>
                  <a:cs typeface="Calibri"/>
                </a:rPr>
                <a:t>2. Remove HTML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114300</xdr:rowOff>
        </xdr:from>
        <xdr:to>
          <xdr:col>3</xdr:col>
          <xdr:colOff>228600</xdr:colOff>
          <xdr:row>13</xdr:row>
          <xdr:rowOff>160020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000" b="0" i="0" u="none" strike="noStrike" baseline="0">
                  <a:solidFill>
                    <a:srgbClr val="000000"/>
                  </a:solidFill>
                  <a:latin typeface="Calibri"/>
                  <a:ea typeface="Calibri"/>
                  <a:cs typeface="Calibri"/>
                </a:rPr>
                <a:t>6. Hide RAG and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22860</xdr:rowOff>
        </xdr:from>
        <xdr:to>
          <xdr:col>2</xdr:col>
          <xdr:colOff>518160</xdr:colOff>
          <xdr:row>4</xdr:row>
          <xdr:rowOff>30480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1. Unhide RAG and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167640</xdr:rowOff>
        </xdr:from>
        <xdr:to>
          <xdr:col>1</xdr:col>
          <xdr:colOff>601980</xdr:colOff>
          <xdr:row>10</xdr:row>
          <xdr:rowOff>38100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4. Adjust Row Height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10</xdr:row>
          <xdr:rowOff>160020</xdr:rowOff>
        </xdr:from>
        <xdr:to>
          <xdr:col>1</xdr:col>
          <xdr:colOff>601980</xdr:colOff>
          <xdr:row>11</xdr:row>
          <xdr:rowOff>160020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5. Refresh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0</xdr:rowOff>
        </xdr:from>
        <xdr:to>
          <xdr:col>3</xdr:col>
          <xdr:colOff>495300</xdr:colOff>
          <xdr:row>8</xdr:row>
          <xdr:rowOff>91440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0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3. Replace text in RAG for shortcuts</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14</xdr:row>
          <xdr:rowOff>114300</xdr:rowOff>
        </xdr:from>
        <xdr:to>
          <xdr:col>3</xdr:col>
          <xdr:colOff>289560</xdr:colOff>
          <xdr:row>15</xdr:row>
          <xdr:rowOff>175260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7. Justify content (RAG)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550333</xdr:colOff>
      <xdr:row>15</xdr:row>
      <xdr:rowOff>24765</xdr:rowOff>
    </xdr:to>
    <xdr:graphicFrame macro="">
      <xdr:nvGraphicFramePr>
        <xdr:cNvPr id="6" name="Project RAG Status">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673417</xdr:colOff>
      <xdr:row>0</xdr:row>
      <xdr:rowOff>0</xdr:rowOff>
    </xdr:from>
    <xdr:to>
      <xdr:col>12</xdr:col>
      <xdr:colOff>390525</xdr:colOff>
      <xdr:row>15</xdr:row>
      <xdr:rowOff>24765</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16</xdr:row>
      <xdr:rowOff>169545</xdr:rowOff>
    </xdr:from>
    <xdr:to>
      <xdr:col>5</xdr:col>
      <xdr:colOff>550333</xdr:colOff>
      <xdr:row>32</xdr:row>
      <xdr:rowOff>15240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675322</xdr:colOff>
      <xdr:row>16</xdr:row>
      <xdr:rowOff>161925</xdr:rowOff>
    </xdr:from>
    <xdr:to>
      <xdr:col>12</xdr:col>
      <xdr:colOff>381000</xdr:colOff>
      <xdr:row>32</xdr:row>
      <xdr:rowOff>7620</xdr:rowOff>
    </xdr:to>
    <xdr:graphicFrame macro="">
      <xdr:nvGraphicFramePr>
        <xdr:cNvPr id="13" name="Chart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33</xdr:row>
      <xdr:rowOff>152400</xdr:rowOff>
    </xdr:from>
    <xdr:to>
      <xdr:col>5</xdr:col>
      <xdr:colOff>582083</xdr:colOff>
      <xdr:row>48</xdr:row>
      <xdr:rowOff>169545</xdr:rowOff>
    </xdr:to>
    <xdr:graphicFrame macro="">
      <xdr:nvGraphicFramePr>
        <xdr:cNvPr id="14" name="Issue Impact">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663892</xdr:colOff>
      <xdr:row>33</xdr:row>
      <xdr:rowOff>177165</xdr:rowOff>
    </xdr:from>
    <xdr:to>
      <xdr:col>12</xdr:col>
      <xdr:colOff>381000</xdr:colOff>
      <xdr:row>49</xdr:row>
      <xdr:rowOff>20955</xdr:rowOff>
    </xdr:to>
    <xdr:graphicFrame macro="">
      <xdr:nvGraphicFramePr>
        <xdr:cNvPr id="15" name="Issue Priority">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50</xdr:row>
      <xdr:rowOff>178011</xdr:rowOff>
    </xdr:from>
    <xdr:to>
      <xdr:col>5</xdr:col>
      <xdr:colOff>560915</xdr:colOff>
      <xdr:row>66</xdr:row>
      <xdr:rowOff>57783</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682624</xdr:colOff>
      <xdr:row>50</xdr:row>
      <xdr:rowOff>172085</xdr:rowOff>
    </xdr:from>
    <xdr:to>
      <xdr:col>12</xdr:col>
      <xdr:colOff>380999</xdr:colOff>
      <xdr:row>66</xdr:row>
      <xdr:rowOff>36618</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67</xdr:row>
      <xdr:rowOff>149012</xdr:rowOff>
    </xdr:from>
    <xdr:to>
      <xdr:col>5</xdr:col>
      <xdr:colOff>582083</xdr:colOff>
      <xdr:row>83</xdr:row>
      <xdr:rowOff>17356</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654261</xdr:colOff>
      <xdr:row>67</xdr:row>
      <xdr:rowOff>145202</xdr:rowOff>
    </xdr:from>
    <xdr:to>
      <xdr:col>12</xdr:col>
      <xdr:colOff>381000</xdr:colOff>
      <xdr:row>83</xdr:row>
      <xdr:rowOff>17356</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xdr:colOff>
      <xdr:row>84</xdr:row>
      <xdr:rowOff>136524</xdr:rowOff>
    </xdr:from>
    <xdr:to>
      <xdr:col>5</xdr:col>
      <xdr:colOff>582084</xdr:colOff>
      <xdr:row>100</xdr:row>
      <xdr:rowOff>2962</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669711</xdr:colOff>
      <xdr:row>84</xdr:row>
      <xdr:rowOff>134619</xdr:rowOff>
    </xdr:from>
    <xdr:to>
      <xdr:col>12</xdr:col>
      <xdr:colOff>412749</xdr:colOff>
      <xdr:row>99</xdr:row>
      <xdr:rowOff>175259</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S$19" spid="_x0000_s12160"/>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701040</xdr:colOff>
          <xdr:row>2</xdr:row>
          <xdr:rowOff>38100</xdr:rowOff>
        </xdr:to>
        <xdr:pic>
          <xdr:nvPicPr>
            <xdr:cNvPr id="11358" name="Picture 2">
              <a:extLst>
                <a:ext uri="{FF2B5EF4-FFF2-40B4-BE49-F238E27FC236}">
                  <a16:creationId xmlns:a16="http://schemas.microsoft.com/office/drawing/2014/main" id="{FCF865AC-B1AC-27AB-ADB0-7DC95CCED5D1}"/>
                </a:ext>
              </a:extLst>
            </xdr:cNvPr>
            <xdr:cNvPicPr>
              <a:picLocks noChangeAspect="1" noChangeArrowheads="1"/>
              <a:extLst>
                <a:ext uri="{84589F7E-364E-4C9E-8A38-B11213B215E9}">
                  <a14:cameraTool cellRange="$S$19" spid="_x0000_s12161"/>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4" name="Picture 105">
              <a:extLst>
                <a:ext uri="{FF2B5EF4-FFF2-40B4-BE49-F238E27FC236}">
                  <a16:creationId xmlns:a16="http://schemas.microsoft.com/office/drawing/2014/main" id="{02BCFA03-3661-B87B-14EC-915573A5EA86}"/>
                </a:ext>
              </a:extLst>
            </xdr:cNvPr>
            <xdr:cNvPicPr>
              <a:picLocks noChangeAspect="1" noChangeArrowheads="1"/>
              <a:extLst>
                <a:ext uri="{84589F7E-364E-4C9E-8A38-B11213B215E9}">
                  <a14:cameraTool cellRange="$S$19" spid="_x0000_s12162"/>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702945</xdr:colOff>
          <xdr:row>2</xdr:row>
          <xdr:rowOff>38100</xdr:rowOff>
        </xdr:to>
        <xdr:pic>
          <xdr:nvPicPr>
            <xdr:cNvPr id="11458" name="Picture 2">
              <a:extLst>
                <a:ext uri="{FF2B5EF4-FFF2-40B4-BE49-F238E27FC236}">
                  <a16:creationId xmlns:a16="http://schemas.microsoft.com/office/drawing/2014/main" id="{54023B0D-BDCC-5A2D-6278-C743C13E0A29}"/>
                </a:ext>
              </a:extLst>
            </xdr:cNvPr>
            <xdr:cNvPicPr>
              <a:picLocks noChangeAspect="1" noChangeArrowheads="1"/>
              <a:extLst>
                <a:ext uri="{84589F7E-364E-4C9E-8A38-B11213B215E9}">
                  <a14:cameraTool cellRange="$S$19" spid="_x0000_s12163"/>
                </a:ext>
              </a:extLst>
            </xdr:cNvPicPr>
          </xdr:nvPicPr>
          <xdr:blipFill>
            <a:blip xmlns:r="http://schemas.openxmlformats.org/officeDocument/2006/relationships" r:embed="rId13"/>
            <a:srcRect/>
            <a:stretch>
              <a:fillRect/>
            </a:stretch>
          </xdr:blipFill>
          <xdr:spPr bwMode="auto">
            <a:xfrm>
              <a:off x="0" y="0"/>
              <a:ext cx="71628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459" name="Picture 195">
              <a:extLst>
                <a:ext uri="{FF2B5EF4-FFF2-40B4-BE49-F238E27FC236}">
                  <a16:creationId xmlns:a16="http://schemas.microsoft.com/office/drawing/2014/main" id="{FB23B97C-5A75-4930-484E-DF6B0379D05E}"/>
                </a:ext>
              </a:extLst>
            </xdr:cNvPr>
            <xdr:cNvPicPr>
              <a:picLocks noChangeAspect="1" noChangeArrowheads="1"/>
              <a:extLst>
                <a:ext uri="{84589F7E-364E-4C9E-8A38-B11213B215E9}">
                  <a14:cameraTool cellRange="$S$19" spid="_x0000_s12164"/>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702945</xdr:colOff>
          <xdr:row>2</xdr:row>
          <xdr:rowOff>38100</xdr:rowOff>
        </xdr:to>
        <xdr:pic>
          <xdr:nvPicPr>
            <xdr:cNvPr id="11460" name="Picture 105">
              <a:extLst>
                <a:ext uri="{FF2B5EF4-FFF2-40B4-BE49-F238E27FC236}">
                  <a16:creationId xmlns:a16="http://schemas.microsoft.com/office/drawing/2014/main" id="{1553DEDE-E4CC-2ECB-FCB6-D0D20AFC6A50}"/>
                </a:ext>
              </a:extLst>
            </xdr:cNvPr>
            <xdr:cNvPicPr>
              <a:picLocks noChangeAspect="1" noChangeArrowheads="1"/>
              <a:extLst>
                <a:ext uri="{84589F7E-364E-4C9E-8A38-B11213B215E9}">
                  <a14:cameraTool cellRange="$S$19" spid="_x0000_s12165"/>
                </a:ext>
              </a:extLst>
            </xdr:cNvPicPr>
          </xdr:nvPicPr>
          <xdr:blipFill>
            <a:blip xmlns:r="http://schemas.openxmlformats.org/officeDocument/2006/relationships" r:embed="rId13"/>
            <a:srcRect/>
            <a:stretch>
              <a:fillRect/>
            </a:stretch>
          </xdr:blipFill>
          <xdr:spPr bwMode="auto">
            <a:xfrm>
              <a:off x="0" y="0"/>
              <a:ext cx="71628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16" name="Picture 2">
              <a:extLst>
                <a:ext uri="{FF2B5EF4-FFF2-40B4-BE49-F238E27FC236}">
                  <a16:creationId xmlns:a16="http://schemas.microsoft.com/office/drawing/2014/main" id="{C8DB5C13-A450-D2EA-686F-9ED702A25B73}"/>
                </a:ext>
              </a:extLst>
            </xdr:cNvPr>
            <xdr:cNvPicPr>
              <a:picLocks noChangeAspect="1" noChangeArrowheads="1"/>
              <a:extLst>
                <a:ext uri="{84589F7E-364E-4C9E-8A38-B11213B215E9}">
                  <a14:cameraTool cellRange="$S$19" spid="_x0000_s12166"/>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2" name="Picture 408">
              <a:extLst>
                <a:ext uri="{FF2B5EF4-FFF2-40B4-BE49-F238E27FC236}">
                  <a16:creationId xmlns:a16="http://schemas.microsoft.com/office/drawing/2014/main" id="{9BA0029B-73DE-6A45-855F-5F629BF86DD6}"/>
                </a:ext>
              </a:extLst>
            </xdr:cNvPr>
            <xdr:cNvPicPr>
              <a:picLocks noChangeAspect="1" noChangeArrowheads="1"/>
              <a:extLst>
                <a:ext uri="{84589F7E-364E-4C9E-8A38-B11213B215E9}">
                  <a14:cameraTool cellRange="$S$19" spid="_x0000_s12167"/>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17" name="Picture 105">
              <a:extLst>
                <a:ext uri="{FF2B5EF4-FFF2-40B4-BE49-F238E27FC236}">
                  <a16:creationId xmlns:a16="http://schemas.microsoft.com/office/drawing/2014/main" id="{44BE0BC3-80C4-3E07-A383-FC5B4C193EC4}"/>
                </a:ext>
              </a:extLst>
            </xdr:cNvPr>
            <xdr:cNvPicPr>
              <a:picLocks noChangeAspect="1" noChangeArrowheads="1"/>
              <a:extLst>
                <a:ext uri="{84589F7E-364E-4C9E-8A38-B11213B215E9}">
                  <a14:cameraTool cellRange="$S$19" spid="_x0000_s12168"/>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4" name="Picture 410">
              <a:extLst>
                <a:ext uri="{FF2B5EF4-FFF2-40B4-BE49-F238E27FC236}">
                  <a16:creationId xmlns:a16="http://schemas.microsoft.com/office/drawing/2014/main" id="{4DACB4BD-04DF-1D5A-C8FB-7E87ECEB1AF0}"/>
                </a:ext>
              </a:extLst>
            </xdr:cNvPr>
            <xdr:cNvPicPr>
              <a:picLocks noChangeAspect="1" noChangeArrowheads="1"/>
              <a:extLst>
                <a:ext uri="{84589F7E-364E-4C9E-8A38-B11213B215E9}">
                  <a14:cameraTool cellRange="$S$19" spid="_x0000_s12169"/>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5" name="Picture 195">
              <a:extLst>
                <a:ext uri="{FF2B5EF4-FFF2-40B4-BE49-F238E27FC236}">
                  <a16:creationId xmlns:a16="http://schemas.microsoft.com/office/drawing/2014/main" id="{AACD514D-3C06-F187-B422-3C61BB3F7F05}"/>
                </a:ext>
              </a:extLst>
            </xdr:cNvPr>
            <xdr:cNvPicPr>
              <a:picLocks noChangeAspect="1" noChangeArrowheads="1"/>
              <a:extLst>
                <a:ext uri="{84589F7E-364E-4C9E-8A38-B11213B215E9}">
                  <a14:cameraTool cellRange="$S$19" spid="_x0000_s12170"/>
                </a:ext>
              </a:extLst>
            </xdr:cNvPicPr>
          </xdr:nvPicPr>
          <xdr:blipFill>
            <a:blip xmlns:r="http://schemas.openxmlformats.org/officeDocument/2006/relationships" r:embed="rId13"/>
            <a:srcRect/>
            <a:stretch>
              <a:fillRect/>
            </a:stretch>
          </xdr:blipFill>
          <xdr:spPr bwMode="auto">
            <a:xfrm>
              <a:off x="0" y="0"/>
              <a:ext cx="70104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6" name="Picture 412">
              <a:extLst>
                <a:ext uri="{FF2B5EF4-FFF2-40B4-BE49-F238E27FC236}">
                  <a16:creationId xmlns:a16="http://schemas.microsoft.com/office/drawing/2014/main" id="{F8310DDA-AE9D-89D0-47F3-407C3D873858}"/>
                </a:ext>
              </a:extLst>
            </xdr:cNvPr>
            <xdr:cNvPicPr>
              <a:picLocks noChangeAspect="1" noChangeArrowheads="1"/>
              <a:extLst>
                <a:ext uri="{84589F7E-364E-4C9E-8A38-B11213B215E9}">
                  <a14:cameraTool cellRange="$S$19" spid="_x0000_s12171"/>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708660</xdr:colOff>
          <xdr:row>2</xdr:row>
          <xdr:rowOff>38100</xdr:rowOff>
        </xdr:to>
        <xdr:pic>
          <xdr:nvPicPr>
            <xdr:cNvPr id="11815" name="Picture 2">
              <a:extLst>
                <a:ext uri="{FF2B5EF4-FFF2-40B4-BE49-F238E27FC236}">
                  <a16:creationId xmlns:a16="http://schemas.microsoft.com/office/drawing/2014/main" id="{33E2F391-401C-F74F-D6DF-1DF50C20659A}"/>
                </a:ext>
              </a:extLst>
            </xdr:cNvPr>
            <xdr:cNvPicPr>
              <a:picLocks noChangeAspect="1" noChangeArrowheads="1"/>
              <a:extLst>
                <a:ext uri="{84589F7E-364E-4C9E-8A38-B11213B215E9}">
                  <a14:cameraTool cellRange="$S$19" spid="_x0000_s12172"/>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701040</xdr:colOff>
          <xdr:row>2</xdr:row>
          <xdr:rowOff>38100</xdr:rowOff>
        </xdr:to>
        <xdr:pic>
          <xdr:nvPicPr>
            <xdr:cNvPr id="11816" name="Picture 552">
              <a:extLst>
                <a:ext uri="{FF2B5EF4-FFF2-40B4-BE49-F238E27FC236}">
                  <a16:creationId xmlns:a16="http://schemas.microsoft.com/office/drawing/2014/main" id="{7D0E3A4E-C2CE-96CD-0B6A-AD9ACC0AEE21}"/>
                </a:ext>
              </a:extLst>
            </xdr:cNvPr>
            <xdr:cNvPicPr>
              <a:picLocks noChangeAspect="1" noChangeArrowheads="1"/>
              <a:extLst>
                <a:ext uri="{84589F7E-364E-4C9E-8A38-B11213B215E9}">
                  <a14:cameraTool cellRange="$S$19" spid="_x0000_s12173"/>
                </a:ext>
              </a:extLst>
            </xdr:cNvPicPr>
          </xdr:nvPicPr>
          <xdr:blipFill>
            <a:blip xmlns:r="http://schemas.openxmlformats.org/officeDocument/2006/relationships" r:embed="rId13"/>
            <a:srcRect/>
            <a:stretch>
              <a:fillRect/>
            </a:stretch>
          </xdr:blipFill>
          <xdr:spPr bwMode="auto">
            <a:xfrm>
              <a:off x="0" y="0"/>
              <a:ext cx="70104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708660</xdr:colOff>
          <xdr:row>2</xdr:row>
          <xdr:rowOff>38100</xdr:rowOff>
        </xdr:to>
        <xdr:pic>
          <xdr:nvPicPr>
            <xdr:cNvPr id="11817" name="Picture 105">
              <a:extLst>
                <a:ext uri="{FF2B5EF4-FFF2-40B4-BE49-F238E27FC236}">
                  <a16:creationId xmlns:a16="http://schemas.microsoft.com/office/drawing/2014/main" id="{61466335-6076-A643-0115-1E603FE35F51}"/>
                </a:ext>
              </a:extLst>
            </xdr:cNvPr>
            <xdr:cNvPicPr>
              <a:picLocks noChangeAspect="1" noChangeArrowheads="1"/>
              <a:extLst>
                <a:ext uri="{84589F7E-364E-4C9E-8A38-B11213B215E9}">
                  <a14:cameraTool cellRange="$S$19" spid="_x0000_s12174"/>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yk Żychlewicz" refreshedDate="45742.395984953706" createdVersion="8" refreshedVersion="8" minRefreshableVersion="3" recordCount="143" xr:uid="{E81B5049-7440-40FD-A73F-42BB8C8E66F2}">
  <cacheSource type="worksheet">
    <worksheetSource ref="A1:F1048576" sheet="Milestones"/>
  </cacheSource>
  <cacheFields count="6">
    <cacheField name="Project Name" numFmtId="0">
      <sharedItems containsBlank="1"/>
    </cacheField>
    <cacheField name="Short Description" numFmtId="0">
      <sharedItems containsBlank="1"/>
    </cacheField>
    <cacheField name="Assigned to" numFmtId="0">
      <sharedItems containsBlank="1"/>
    </cacheField>
    <cacheField name="Planned end date" numFmtId="0">
      <sharedItems containsNonDate="0" containsDate="1" containsString="0" containsBlank="1" minDate="2023-05-18T00:00:00" maxDate="2026-03-28T00:00:00"/>
    </cacheField>
    <cacheField name="Actual end date" numFmtId="0">
      <sharedItems containsNonDate="0" containsDate="1" containsString="0" containsBlank="1" minDate="2023-06-16T00:00:00" maxDate="2025-02-18T00:00:00"/>
    </cacheField>
    <cacheField name="State" numFmtId="0">
      <sharedItems containsBlank="1" count="7">
        <s v="Closed Complete"/>
        <s v="Pending"/>
        <s v="Work in Progress"/>
        <s v="Closed Skipped"/>
        <s v="Open"/>
        <s v="Pending Customer"/>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yk Żychlewicz" refreshedDate="45742.395988425924" createdVersion="8" refreshedVersion="8" minRefreshableVersion="3" recordCount="32" xr:uid="{850BD5D4-B6B9-43EE-9EC0-6BB8395CF1F2}">
  <cacheSource type="worksheet">
    <worksheetSource ref="A1:K1048576" sheet="Risk"/>
  </cacheSource>
  <cacheFields count="11">
    <cacheField name="Project Name" numFmtId="0">
      <sharedItems containsBlank="1"/>
    </cacheField>
    <cacheField name="Number" numFmtId="0">
      <sharedItems containsBlank="1"/>
    </cacheField>
    <cacheField name="Short description" numFmtId="0">
      <sharedItems containsBlank="1"/>
    </cacheField>
    <cacheField name="Impact" numFmtId="0">
      <sharedItems containsBlank="1"/>
    </cacheField>
    <cacheField name="Probability" numFmtId="0">
      <sharedItems containsBlank="1"/>
    </cacheField>
    <cacheField name="Risk status" numFmtId="0">
      <sharedItems containsBlank="1"/>
    </cacheField>
    <cacheField name="Risk value" numFmtId="0">
      <sharedItems containsBlank="1" count="4">
        <s v="2 - Medium"/>
        <s v="3 - Low"/>
        <m/>
        <s v="1 - High" u="1"/>
      </sharedItems>
    </cacheField>
    <cacheField name="Risk owner" numFmtId="0">
      <sharedItems containsBlank="1"/>
    </cacheField>
    <cacheField name="Assigned to" numFmtId="0">
      <sharedItems containsBlank="1"/>
    </cacheField>
    <cacheField name="Mitigation plan" numFmtId="0">
      <sharedItems containsBlank="1"/>
    </cacheField>
    <cacheField name="State" numFmtId="0">
      <sharedItems containsBlank="1" count="4">
        <s v="Pending"/>
        <s v="Work in Progress"/>
        <s v="Open"/>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yk Żychlewicz" refreshedDate="45742.395991550926" createdVersion="8" refreshedVersion="8" minRefreshableVersion="3" recordCount="25" xr:uid="{3F855A33-6F39-4E0C-A8C8-CC5963AE38DE}">
  <cacheSource type="worksheet">
    <worksheetSource ref="A1:H1048576" sheet="Projects"/>
  </cacheSource>
  <cacheFields count="8">
    <cacheField name="Project Name" numFmtId="0">
      <sharedItems containsBlank="1"/>
    </cacheField>
    <cacheField name="Description" numFmtId="0">
      <sharedItems containsBlank="1" longText="1"/>
    </cacheField>
    <cacheField name="Phase" numFmtId="0">
      <sharedItems containsBlank="1" count="6">
        <s v="Delivering"/>
        <s v="Initiating"/>
        <s v="Closing"/>
        <m/>
        <s v="Executing" u="1"/>
        <s v="Planning" u="1"/>
      </sharedItems>
    </cacheField>
    <cacheField name="State" numFmtId="0">
      <sharedItems containsBlank="1"/>
    </cacheField>
    <cacheField name="Percent complete" numFmtId="0">
      <sharedItems containsString="0" containsBlank="1" containsNumber="1" minValue="0" maxValue="0.99709999999999999"/>
    </cacheField>
    <cacheField name="Status" numFmtId="0">
      <sharedItems containsBlank="1" count="7">
        <s v="Y"/>
        <s v="G"/>
        <s v="R"/>
        <m/>
        <s v="Green" u="1"/>
        <s v="Yellow" u="1"/>
        <s v="Red" u="1"/>
      </sharedItems>
    </cacheField>
    <cacheField name="Priority" numFmtId="0">
      <sharedItems containsBlank="1"/>
    </cacheField>
    <cacheField name="Project manager"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yk Żychlewicz" refreshedDate="45742.396005324073" createdVersion="8" refreshedVersion="8" minRefreshableVersion="3" recordCount="32" xr:uid="{F1191C9A-7679-484E-AC09-3FE605961486}">
  <cacheSource type="worksheet">
    <worksheetSource ref="A1:G1048576" sheet="Issue"/>
  </cacheSource>
  <cacheFields count="7">
    <cacheField name="Project Name" numFmtId="0">
      <sharedItems containsBlank="1"/>
    </cacheField>
    <cacheField name="Number" numFmtId="0">
      <sharedItems containsBlank="1"/>
    </cacheField>
    <cacheField name="Short Description" numFmtId="0">
      <sharedItems containsBlank="1"/>
    </cacheField>
    <cacheField name="Impact" numFmtId="0">
      <sharedItems containsBlank="1" count="5">
        <s v="2 - Significant/Large"/>
        <s v="1 - Extensive/Widespread"/>
        <s v="3 - Moderate/Limited"/>
        <s v="4 - Minor/Localised"/>
        <m/>
      </sharedItems>
    </cacheField>
    <cacheField name="Priority" numFmtId="0">
      <sharedItems containsBlank="1" count="5">
        <s v="2 - High"/>
        <s v="3 - Moderate"/>
        <s v="4 - Low"/>
        <m/>
        <s v="1 - Critical" u="1"/>
      </sharedItems>
    </cacheField>
    <cacheField name="Due date" numFmtId="0">
      <sharedItems containsNonDate="0" containsDate="1" containsString="0" containsBlank="1" minDate="2024-07-31T00:00:00" maxDate="2025-01-01T00:00:00"/>
    </cacheField>
    <cacheField name="State" numFmtId="0">
      <sharedItems containsBlank="1" count="2">
        <s v="Open"/>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yk Żychlewicz" refreshedDate="45742.396042361113" createdVersion="8" refreshedVersion="8" minRefreshableVersion="3" recordCount="25" xr:uid="{0CAC5444-C795-4FC7-A72B-261916E4BE4E}">
  <cacheSource type="worksheet">
    <worksheetSource ref="A1:F1048576" sheet="Projects"/>
  </cacheSource>
  <cacheFields count="6">
    <cacheField name="Project Name" numFmtId="0">
      <sharedItems containsBlank="1"/>
    </cacheField>
    <cacheField name="Description" numFmtId="0">
      <sharedItems containsBlank="1" longText="1"/>
    </cacheField>
    <cacheField name="Phase" numFmtId="0">
      <sharedItems containsBlank="1" count="6">
        <s v="Delivering"/>
        <s v="Initiating"/>
        <s v="Closing"/>
        <m/>
        <s v="Executing" u="1"/>
        <s v="Planning" u="1"/>
      </sharedItems>
    </cacheField>
    <cacheField name="State" numFmtId="0">
      <sharedItems containsBlank="1"/>
    </cacheField>
    <cacheField name="Percent complete" numFmtId="0">
      <sharedItems containsString="0" containsBlank="1" containsNumber="1" minValue="0" maxValue="0.99709999999999999"/>
    </cacheField>
    <cacheField name="Status" numFmtId="0">
      <sharedItems containsBlank="1" count="7">
        <s v="Y"/>
        <s v="G"/>
        <s v="R"/>
        <m/>
        <s v="Green" u="1"/>
        <s v="Yellow" u="1"/>
        <s v="Red"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yk Żychlewicz" refreshedDate="45742.396048842595" createdVersion="8" refreshedVersion="8" minRefreshableVersion="3" recordCount="25" xr:uid="{93603059-A674-4647-98DB-E42E551C8342}">
  <cacheSource type="worksheet">
    <worksheetSource ref="A1:D1048576" sheet="Projects"/>
  </cacheSource>
  <cacheFields count="4">
    <cacheField name="Project Name" numFmtId="0">
      <sharedItems containsBlank="1"/>
    </cacheField>
    <cacheField name="Description" numFmtId="0">
      <sharedItems containsBlank="1" longText="1"/>
    </cacheField>
    <cacheField name="Phase" numFmtId="0">
      <sharedItems containsBlank="1" count="6">
        <s v="Delivering"/>
        <s v="Initiating"/>
        <s v="Closing"/>
        <m/>
        <s v="Executing" u="1"/>
        <s v="Planning" u="1"/>
      </sharedItems>
    </cacheField>
    <cacheField name="State" numFmtId="0">
      <sharedItems containsBlank="1" count="5">
        <s v="Work in Progress"/>
        <s v="Pending"/>
        <s v="Pending Customer"/>
        <m/>
        <s v="Ope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s v="B2BP"/>
    <s v="Executing the solution delivery"/>
    <s v="MICHAL SZAJOWKA"/>
    <d v="2024-06-28T00:00:00"/>
    <d v="2024-06-28T00:00:00"/>
    <x v="0"/>
  </r>
  <r>
    <s v="B2BP"/>
    <s v="Testing with Customer"/>
    <s v="MICHAL SZAJOWKA"/>
    <d v="2024-12-30T00:00:00"/>
    <d v="2025-02-06T00:00:00"/>
    <x v="0"/>
  </r>
  <r>
    <s v="B2BP"/>
    <s v="Official Project Closure"/>
    <s v="MICHAL SZAJOWKA"/>
    <d v="2025-03-31T00:00:00"/>
    <m/>
    <x v="1"/>
  </r>
  <r>
    <s v="CRCO-DR"/>
    <s v="2. Network Change Implementation"/>
    <s v="VICTORIA STALEY"/>
    <d v="2023-12-21T00:00:00"/>
    <d v="2023-12-21T00:00:00"/>
    <x v="0"/>
  </r>
  <r>
    <s v="CRCO-DR"/>
    <s v="1. Low Level Design"/>
    <s v="VICTORIA STALEY"/>
    <d v="2023-12-21T00:00:00"/>
    <d v="2023-12-21T00:00:00"/>
    <x v="0"/>
  </r>
  <r>
    <s v="CRCO-DR"/>
    <s v="3. Documentation Creation &amp;  Updates"/>
    <s v="VICTORIA STALEY"/>
    <d v="2024-08-30T00:00:00"/>
    <d v="2024-08-30T00:00:00"/>
    <x v="0"/>
  </r>
  <r>
    <s v="CRCO-DR"/>
    <s v="4. Service Acceptance &amp; Handover"/>
    <s v="VICTORIA STALEY"/>
    <d v="2024-12-20T00:00:00"/>
    <d v="2024-12-20T00:00:00"/>
    <x v="0"/>
  </r>
  <r>
    <s v="CRCO-DR"/>
    <s v="Accomplish project closure / participate Closing DPPB"/>
    <s v="VICTORIA STALEY"/>
    <d v="2025-03-31T00:00:00"/>
    <m/>
    <x v="2"/>
  </r>
  <r>
    <s v="DR-002 "/>
    <s v="1. High-Level Design"/>
    <s v="VICTORIA STALEY"/>
    <d v="2024-07-24T00:00:00"/>
    <d v="2024-07-24T00:00:00"/>
    <x v="0"/>
  </r>
  <r>
    <s v="DR-002 "/>
    <s v="2. Implementation and Documentation for Wave 0/1"/>
    <s v="VICTORIA STALEY"/>
    <d v="2024-11-08T00:00:00"/>
    <d v="2024-11-08T00:00:00"/>
    <x v="0"/>
  </r>
  <r>
    <s v="DR-002 "/>
    <s v="3. Implementation and Documentation for Wave 2"/>
    <s v="VICTORIA STALEY"/>
    <d v="2024-12-31T00:00:00"/>
    <d v="2024-12-31T00:00:00"/>
    <x v="0"/>
  </r>
  <r>
    <s v="DR-002 "/>
    <s v="4.  Service Enablement"/>
    <s v="VICTORIA STALEY"/>
    <d v="2025-04-30T00:00:00"/>
    <m/>
    <x v="1"/>
  </r>
  <r>
    <s v="ESXRF2"/>
    <s v="Kick-Off"/>
    <s v="MACIEJ STEPIEN"/>
    <d v="2024-01-01T00:00:00"/>
    <d v="2024-01-01T00:00:00"/>
    <x v="0"/>
  </r>
  <r>
    <s v="ESXRF2"/>
    <s v="MST-1: BOM and Solution DSD created"/>
    <s v="MACIEJ STEPIEN"/>
    <d v="2024-12-31T00:00:00"/>
    <d v="2024-12-31T00:00:00"/>
    <x v="0"/>
  </r>
  <r>
    <s v="ESXRF2"/>
    <s v="MST-2: TULIP migration completed"/>
    <s v="MACIEJ STEPIEN"/>
    <d v="2025-03-31T00:00:00"/>
    <m/>
    <x v="1"/>
  </r>
  <r>
    <s v="ESXRF2"/>
    <s v="MST-3: COBALT-BLUE migration completed"/>
    <s v="MACIEJ STEPIEN"/>
    <d v="2025-06-30T00:00:00"/>
    <m/>
    <x v="1"/>
  </r>
  <r>
    <s v="ESXRF2"/>
    <s v="MST-4: TEAL migration completed"/>
    <s v="MACIEJ STEPIEN"/>
    <d v="2025-09-30T00:00:00"/>
    <m/>
    <x v="1"/>
  </r>
  <r>
    <s v="ESXRF2"/>
    <s v="MST-5: WHITE cluster migration completed"/>
    <s v="MACIEJ STEPIEN"/>
    <d v="2025-11-30T00:00:00"/>
    <m/>
    <x v="1"/>
  </r>
  <r>
    <s v="ESXRF2"/>
    <s v="MST-6: Project Formal Closure Completed"/>
    <s v="MACIEJ STEPIEN"/>
    <d v="2025-12-31T00:00:00"/>
    <m/>
    <x v="1"/>
  </r>
  <r>
    <s v="ESXRF3"/>
    <s v="DEMAND creation"/>
    <s v="MACIEJ STEPIEN"/>
    <d v="2024-12-10T00:00:00"/>
    <d v="2024-12-10T00:00:00"/>
    <x v="0"/>
  </r>
  <r>
    <s v="ESXRF3"/>
    <s v="MST-1: BOM and Solution DSD (Racking) creation"/>
    <s v="MACIEJ STEPIEN"/>
    <d v="2025-03-31T00:00:00"/>
    <m/>
    <x v="2"/>
  </r>
  <r>
    <s v="ESXRF3"/>
    <s v="MST-2: new clusters delivery"/>
    <s v="MACIEJ STEPIEN"/>
    <d v="2025-06-30T00:00:00"/>
    <m/>
    <x v="2"/>
  </r>
  <r>
    <s v="ESXRF3"/>
    <s v="MST3 new servers migrated"/>
    <s v="MACIEJ STEPIEN"/>
    <d v="2025-09-30T00:00:00"/>
    <m/>
    <x v="1"/>
  </r>
  <r>
    <s v="NCSI-ALCN-25"/>
    <s v="Official Project Closure on DPPB"/>
    <s v="PHILIPPE CLOSSET"/>
    <d v="2025-09-30T00:00:00"/>
    <m/>
    <x v="1"/>
  </r>
  <r>
    <s v="NCSI-BW-24"/>
    <s v="Start the project"/>
    <s v="PHILIPPE CLOSSET"/>
    <d v="2024-10-01T00:00:00"/>
    <m/>
    <x v="1"/>
  </r>
  <r>
    <s v="NCSI-BW-24"/>
    <s v="Official Project Closure"/>
    <s v="PHILIPPE CLOSSET"/>
    <d v="2026-03-27T00:00:00"/>
    <m/>
    <x v="1"/>
  </r>
  <r>
    <s v="NCSI-CRCO-24"/>
    <s v="HLD"/>
    <s v="PHILIPPE CLOSSET"/>
    <d v="2024-05-29T00:00:00"/>
    <d v="2024-06-17T00:00:00"/>
    <x v="0"/>
  </r>
  <r>
    <s v="NCSI-CRCO-24"/>
    <s v="LLD"/>
    <s v="PHILIPPE CLOSSET"/>
    <d v="2024-08-23T00:00:00"/>
    <d v="2024-08-23T00:00:00"/>
    <x v="0"/>
  </r>
  <r>
    <s v="NCSI-CRCO-24"/>
    <s v="Implementation &amp; Migration Plan"/>
    <s v="PHILIPPE CLOSSET"/>
    <d v="2024-10-31T00:00:00"/>
    <d v="2024-11-04T00:00:00"/>
    <x v="0"/>
  </r>
  <r>
    <s v="NCSI-CRCO-24"/>
    <s v="integration of CRCO DC"/>
    <s v="PHILIPPE CLOSSET"/>
    <d v="2024-11-25T00:00:00"/>
    <d v="2024-11-25T00:00:00"/>
    <x v="0"/>
  </r>
  <r>
    <s v="NCSI-CRCO-24"/>
    <s v="closure of the project"/>
    <s v="PHILIPPE CLOSSET"/>
    <d v="2025-02-28T00:00:00"/>
    <m/>
    <x v="1"/>
  </r>
  <r>
    <s v="NCSI-CRE-24"/>
    <s v="START PROJECT"/>
    <s v="PHILIPPE CLOSSET"/>
    <d v="2024-05-01T00:00:00"/>
    <d v="2024-09-09T00:00:00"/>
    <x v="0"/>
  </r>
  <r>
    <s v="NCSI-CRE-24"/>
    <s v="Decommissioning  of old campus network in OPS room"/>
    <s v="PHILIPPE CLOSSET"/>
    <d v="2025-01-31T00:00:00"/>
    <d v="2025-01-31T00:00:00"/>
    <x v="0"/>
  </r>
  <r>
    <s v="NCSI-CRE-24"/>
    <s v="migration of end-points of S7"/>
    <s v="PHILIPPE CLOSSET"/>
    <d v="2025-03-14T00:00:00"/>
    <m/>
    <x v="2"/>
  </r>
  <r>
    <s v="NCSI-CRE-24"/>
    <s v="migration of end-points of D1/D2"/>
    <s v="PHILIPPE CLOSSET"/>
    <d v="2025-03-30T00:00:00"/>
    <m/>
    <x v="2"/>
  </r>
  <r>
    <s v="NCSI-CRE-24"/>
    <s v="Migration of the end-points S6"/>
    <s v="PHILIPPE CLOSSET"/>
    <d v="2025-03-30T00:00:00"/>
    <m/>
    <x v="2"/>
  </r>
  <r>
    <s v="NCSI-CRE-24"/>
    <s v="Decommissioning of D3/D4"/>
    <s v="PHILIPPE CLOSSET"/>
    <d v="2025-03-31T00:00:00"/>
    <m/>
    <x v="1"/>
  </r>
  <r>
    <s v="NCSI-CRE-24"/>
    <s v="Decommissioning of S7"/>
    <s v="PHILIPPE CLOSSET"/>
    <d v="2025-03-31T00:00:00"/>
    <m/>
    <x v="1"/>
  </r>
  <r>
    <s v="NCSI-CRE-24"/>
    <s v="decommissionning of S6 switch"/>
    <s v="PHILIPPE CLOSSET"/>
    <d v="2025-03-31T00:00:00"/>
    <m/>
    <x v="1"/>
  </r>
  <r>
    <s v="NCSI-CRE-24"/>
    <s v="Decommissioning of D1/D2"/>
    <s v="PHILIPPE CLOSSET"/>
    <d v="2025-03-31T00:00:00"/>
    <m/>
    <x v="2"/>
  </r>
  <r>
    <s v="NCSI-CRE-24"/>
    <s v="Decommissioning of CTH1/2"/>
    <s v="PHILIPPE CLOSSET"/>
    <d v="2025-03-31T00:00:00"/>
    <m/>
    <x v="1"/>
  </r>
  <r>
    <s v="NCSI-CRE-24"/>
    <s v="Official Project Closure"/>
    <s v="PHILIPPE CLOSSET"/>
    <d v="2025-03-31T00:00:00"/>
    <m/>
    <x v="1"/>
  </r>
  <r>
    <s v="NLCM-BRET-24"/>
    <s v="Official Project Closure on DPPB"/>
    <s v="PHILIPPE CLOSSET"/>
    <d v="2024-04-03T00:00:00"/>
    <m/>
    <x v="1"/>
  </r>
  <r>
    <s v="NLCM-NEX-24"/>
    <s v="Milestone 1 - BOM delivered"/>
    <s v="MICHAL SZAJOWKA"/>
    <d v="2024-11-15T00:00:00"/>
    <d v="2024-11-15T00:00:00"/>
    <x v="0"/>
  </r>
  <r>
    <s v="NLCM-NEX-24"/>
    <s v="Milestone 2 - Implementation plan and migration plan created"/>
    <s v="PHILIPPE CLOSSET"/>
    <d v="2025-02-28T00:00:00"/>
    <m/>
    <x v="1"/>
  </r>
  <r>
    <s v="NLCM-NEX-24"/>
    <s v="Milestone 3 - Impact Analysis documented"/>
    <s v="PHILIPPE CLOSSET"/>
    <d v="2025-03-14T00:00:00"/>
    <m/>
    <x v="1"/>
  </r>
  <r>
    <s v="NLCM-NEX-24"/>
    <s v="Milestone 4 - Physical installation of network equipment finished"/>
    <s v="PHILIPPE CLOSSET"/>
    <d v="2025-04-02T00:00:00"/>
    <m/>
    <x v="1"/>
  </r>
  <r>
    <s v="NLCM-NEX-24"/>
    <s v="Milestone 5 - Migration of VDC done"/>
    <s v="PHILIPPE CLOSSET"/>
    <d v="2025-11-28T00:00:00"/>
    <m/>
    <x v="1"/>
  </r>
  <r>
    <s v="NLCM-NEX-24"/>
    <s v="Milestone 6 - Handover to MNP BAU done"/>
    <s v="PHILIPPE CLOSSET"/>
    <d v="2025-12-29T00:00:00"/>
    <m/>
    <x v="1"/>
  </r>
  <r>
    <s v="NLCM-NEX-24"/>
    <s v="Milestone 7 - Project closed"/>
    <s v="PHILIPPE CLOSSET"/>
    <d v="2026-01-12T00:00:00"/>
    <m/>
    <x v="1"/>
  </r>
  <r>
    <s v="NLCM-RGNPM-23"/>
    <s v="Official Project Closure on DPPB"/>
    <s v="MICHAL SZAJOWKA"/>
    <d v="2023-05-18T00:00:00"/>
    <m/>
    <x v="1"/>
  </r>
  <r>
    <s v="NS-009a"/>
    <s v="Cisco CX Review Report "/>
    <s v="VICTORIA STALEY"/>
    <d v="2024-02-21T00:00:00"/>
    <d v="2024-02-21T00:00:00"/>
    <x v="3"/>
  </r>
  <r>
    <s v="NS-009a"/>
    <s v="Network Monitoring, Management, and Operation Gap Analysis and recommendation "/>
    <s v="VICTORIA STALEY"/>
    <d v="2024-02-21T00:00:00"/>
    <d v="2024-02-21T00:00:00"/>
    <x v="3"/>
  </r>
  <r>
    <s v="NS-009a"/>
    <s v="Network Element Evaluation Report: "/>
    <s v="VICTORIA STALEY"/>
    <d v="2024-05-10T00:00:00"/>
    <d v="2024-05-07T00:00:00"/>
    <x v="0"/>
  </r>
  <r>
    <s v="NS-009a"/>
    <s v="Simplification, Legacy Removal, and Modernization Recommendations: "/>
    <s v="VICTORIA STALEY"/>
    <d v="2024-05-10T00:00:00"/>
    <d v="2024-05-07T00:00:00"/>
    <x v="0"/>
  </r>
  <r>
    <s v="NS-009a"/>
    <s v="Network Legacy, Complexity, and Inconsistency Report "/>
    <s v="VICTORIA STALEY"/>
    <d v="2024-05-10T00:00:00"/>
    <d v="2024-05-07T00:00:00"/>
    <x v="0"/>
  </r>
  <r>
    <s v="NS-009a"/>
    <s v="Device and Bandwidth Capacity Plan "/>
    <s v="VICTORIA STALEY"/>
    <d v="2024-05-10T00:00:00"/>
    <d v="2024-05-07T00:00:00"/>
    <x v="0"/>
  </r>
  <r>
    <s v="NS-009a"/>
    <s v="Stakeholder Input and Requirements Document "/>
    <s v="VICTORIA STALEY"/>
    <d v="2024-05-10T00:00:00"/>
    <d v="2024-05-07T00:00:00"/>
    <x v="0"/>
  </r>
  <r>
    <s v="NS-009a"/>
    <s v="Official Project Closure"/>
    <s v="VICTORIA STALEY"/>
    <d v="2025-03-31T00:00:00"/>
    <m/>
    <x v="2"/>
  </r>
  <r>
    <s v="NS-009a"/>
    <s v="Accomplished Closing DPPB Meeting"/>
    <s v="VICTORIA STALEY"/>
    <d v="2025-03-31T00:00:00"/>
    <m/>
    <x v="2"/>
  </r>
  <r>
    <s v="NS-009b"/>
    <s v="Express Route Recommendation Document "/>
    <s v="VICTORIA STALEY"/>
    <d v="2024-02-15T00:00:00"/>
    <d v="2024-02-15T00:00:00"/>
    <x v="0"/>
  </r>
  <r>
    <s v="NS-009b"/>
    <s v="Analysis of relevant traffic flows for NM/iNM"/>
    <s v="VICTORIA STALEY"/>
    <d v="2024-03-08T00:00:00"/>
    <d v="2024-02-20T00:00:00"/>
    <x v="0"/>
  </r>
  <r>
    <s v="NS-009b"/>
    <s v="SAB Issue Analysis: Okta Case – Presentation of Solutions"/>
    <s v="VICTORIA STALEY"/>
    <d v="2024-03-28T00:00:00"/>
    <d v="2024-03-28T00:00:00"/>
    <x v="0"/>
  </r>
  <r>
    <s v="NS-009b"/>
    <s v="SAB Issue Analysis: Okta Case – Presentation of Solutions, Dependencies &amp; Challenges"/>
    <s v="VICTORIA STALEY"/>
    <d v="2024-03-28T00:00:00"/>
    <d v="2024-03-28T00:00:00"/>
    <x v="0"/>
  </r>
  <r>
    <s v="NS-009b"/>
    <s v="SAB Issue Analysis: Okta Case – Presentation of Solutions, Findings &amp; Dependencies"/>
    <s v="VICTORIA STALEY"/>
    <d v="2024-03-28T00:00:00"/>
    <d v="2024-03-28T00:00:00"/>
    <x v="0"/>
  </r>
  <r>
    <s v="NS-009b"/>
    <s v="Pens-to-Azure connectivity Design "/>
    <s v="VICTORIA STALEY"/>
    <d v="2024-04-30T00:00:00"/>
    <d v="2024-04-29T00:00:00"/>
    <x v="0"/>
  </r>
  <r>
    <s v="NS-009b"/>
    <s v="Express Route Design "/>
    <s v="VICTORIA STALEY"/>
    <d v="2024-04-30T00:00:00"/>
    <d v="2024-04-29T00:00:00"/>
    <x v="0"/>
  </r>
  <r>
    <s v="NS-009b"/>
    <s v="Design Document for EAD-to-eEAD Connectivity"/>
    <s v="VICTORIA STALEY"/>
    <d v="2024-04-30T00:00:00"/>
    <d v="2024-04-29T00:00:00"/>
    <x v="0"/>
  </r>
  <r>
    <s v="NS-009b"/>
    <s v="Network Capacity Report &amp; Recommendation "/>
    <s v="VICTORIA STALEY"/>
    <d v="2024-04-30T00:00:00"/>
    <d v="2024-04-29T00:00:00"/>
    <x v="0"/>
  </r>
  <r>
    <s v="NS-009b"/>
    <s v="Analysis report and recommendations (Phase 1)"/>
    <s v="VICTORIA STALEY"/>
    <d v="2024-04-30T00:00:00"/>
    <d v="2024-04-29T00:00:00"/>
    <x v="0"/>
  </r>
  <r>
    <s v="NS-009b"/>
    <s v="Proposal Implementation Plan "/>
    <s v="VICTORIA STALEY"/>
    <d v="2024-04-30T00:00:00"/>
    <d v="2024-04-29T00:00:00"/>
    <x v="0"/>
  </r>
  <r>
    <s v="NS-009b"/>
    <s v="Azure HA zones design "/>
    <s v="VICTORIA STALEY"/>
    <d v="2024-05-10T00:00:00"/>
    <d v="2024-05-13T00:00:00"/>
    <x v="0"/>
  </r>
  <r>
    <s v="NS-009b"/>
    <s v="Use Case SDWAN "/>
    <s v="VICTORIA STALEY"/>
    <d v="2024-05-10T00:00:00"/>
    <d v="2024-05-07T00:00:00"/>
    <x v="0"/>
  </r>
  <r>
    <s v="NS-009b"/>
    <s v="Accomplished Closing DPPB Meeting"/>
    <s v="VICTORIA STALEY"/>
    <d v="2025-03-31T00:00:00"/>
    <m/>
    <x v="2"/>
  </r>
  <r>
    <s v="NS-009b"/>
    <s v="Official Project Closure"/>
    <s v="VICTORIA STALEY"/>
    <d v="2025-03-31T00:00:00"/>
    <m/>
    <x v="2"/>
  </r>
  <r>
    <s v="NS-010"/>
    <s v="Requirements gathering Report "/>
    <s v="VICTORIA STALEY"/>
    <d v="2023-09-11T00:00:00"/>
    <d v="2023-09-11T00:00:00"/>
    <x v="0"/>
  </r>
  <r>
    <s v="NS-010"/>
    <s v="Problem Analysis Report "/>
    <s v="VICTORIA STALEY"/>
    <d v="2023-09-11T00:00:00"/>
    <d v="2023-09-11T00:00:00"/>
    <x v="0"/>
  </r>
  <r>
    <s v="NS-010"/>
    <s v="Theoretical Evaluation SASE Vendors "/>
    <s v="VICTORIA STALEY"/>
    <d v="2023-11-03T00:00:00"/>
    <d v="2023-11-03T00:00:00"/>
    <x v="0"/>
  </r>
  <r>
    <s v="NS-010"/>
    <s v="Brief Solution Document "/>
    <s v="VICTORIA STALEY"/>
    <d v="2024-04-30T00:00:00"/>
    <d v="2024-04-29T00:00:00"/>
    <x v="0"/>
  </r>
  <r>
    <s v="NS-010"/>
    <s v="Proposal Implementation Plan "/>
    <s v="VICTORIA STALEY"/>
    <d v="2024-04-30T00:00:00"/>
    <d v="2024-04-29T00:00:00"/>
    <x v="0"/>
  </r>
  <r>
    <s v="NS-010"/>
    <s v="SASE Vendor Evaluation Report "/>
    <s v="VICTORIA STALEY"/>
    <d v="2024-04-30T00:00:00"/>
    <d v="2024-04-29T00:00:00"/>
    <x v="0"/>
  </r>
  <r>
    <s v="NS-010"/>
    <s v="Conceptual Design Document "/>
    <s v="VICTORIA STALEY"/>
    <d v="2024-11-29T00:00:00"/>
    <d v="2024-11-29T00:00:00"/>
    <x v="0"/>
  </r>
  <r>
    <s v="NS-010"/>
    <s v="High Level Design Document "/>
    <s v="VICTORIA STALEY"/>
    <d v="2025-01-14T00:00:00"/>
    <d v="2025-01-14T00:00:00"/>
    <x v="0"/>
  </r>
  <r>
    <s v="NS-010"/>
    <s v="Accomplished Closing DPPB Meeting"/>
    <s v="VICTORIA STALEY"/>
    <d v="2025-03-31T00:00:00"/>
    <m/>
    <x v="2"/>
  </r>
  <r>
    <s v="NS-010"/>
    <s v="Official Project Closure"/>
    <s v="VICTORIA STALEY"/>
    <d v="2025-03-31T00:00:00"/>
    <m/>
    <x v="2"/>
  </r>
  <r>
    <s v="NS-011"/>
    <s v="Conceptual Design Document"/>
    <s v="VICTORIA STALEY"/>
    <d v="2024-04-30T00:00:00"/>
    <d v="2024-04-29T00:00:00"/>
    <x v="0"/>
  </r>
  <r>
    <s v="NS-011"/>
    <s v="Architectural Analysis Document"/>
    <s v="VICTORIA STALEY"/>
    <d v="2024-04-30T00:00:00"/>
    <d v="2024-04-29T00:00:00"/>
    <x v="0"/>
  </r>
  <r>
    <s v="NS-011"/>
    <s v="Official Project Closure"/>
    <s v="VICTORIA STALEY"/>
    <d v="2025-03-31T00:00:00"/>
    <m/>
    <x v="2"/>
  </r>
  <r>
    <s v="NS-011"/>
    <s v="Accomplished Closing DPPB Meeting"/>
    <s v="VICTORIA STALEY"/>
    <d v="2025-03-31T00:00:00"/>
    <m/>
    <x v="2"/>
  </r>
  <r>
    <s v="NS-013"/>
    <s v="1. Pilot Plan and Detailed Solution Design (DSD)"/>
    <s v="VICTORIA STALEY"/>
    <d v="2025-01-31T00:00:00"/>
    <d v="2025-01-31T00:00:00"/>
    <x v="0"/>
  </r>
  <r>
    <s v="NS-013"/>
    <s v="3. Deployment and Configuration Completed"/>
    <s v="VICTORIA STALEY"/>
    <d v="2025-04-11T00:00:00"/>
    <m/>
    <x v="1"/>
  </r>
  <r>
    <s v="NS-013"/>
    <s v="2. Infrastructure Setup Completed"/>
    <s v="VICTORIA STALEY"/>
    <d v="2025-04-11T00:00:00"/>
    <m/>
    <x v="2"/>
  </r>
  <r>
    <s v="NS-013"/>
    <s v="4. Pilot Evaluation Report"/>
    <s v="VICTORIA STALEY"/>
    <d v="2025-05-16T00:00:00"/>
    <m/>
    <x v="1"/>
  </r>
  <r>
    <s v="NS-013"/>
    <s v="Create a Project Closure Presentation"/>
    <s v="VICTORIA STALEY"/>
    <d v="2025-05-16T00:00:00"/>
    <m/>
    <x v="4"/>
  </r>
  <r>
    <s v="NS-018a"/>
    <s v="1. High-Level Design for OPS and AGN CRE"/>
    <s v="VICTORIA STALEY"/>
    <d v="2024-08-30T00:00:00"/>
    <d v="2024-08-30T00:00:00"/>
    <x v="0"/>
  </r>
  <r>
    <s v="NS-018a"/>
    <s v="2. Detailed Solution Design for OPS and AGN CRE"/>
    <s v="VICTORIA STALEY"/>
    <d v="2025-01-31T00:00:00"/>
    <d v="2025-01-31T00:00:00"/>
    <x v="0"/>
  </r>
  <r>
    <s v="NS-018a"/>
    <s v="3. Implementation"/>
    <s v="VICTORIA STALEY"/>
    <d v="2025-03-31T00:00:00"/>
    <m/>
    <x v="2"/>
  </r>
  <r>
    <s v="NS-018a"/>
    <s v="4. Service Enablement"/>
    <s v="VICTORIA STALEY"/>
    <d v="2025-04-30T00:00:00"/>
    <m/>
    <x v="1"/>
  </r>
  <r>
    <s v="NS-028a"/>
    <s v="1. Design Documentation"/>
    <s v="VICTORIA STALEY"/>
    <d v="2024-12-20T00:00:00"/>
    <d v="2024-12-20T00:00:00"/>
    <x v="0"/>
  </r>
  <r>
    <s v="NS-028a"/>
    <s v="2. Implementation"/>
    <s v="VICTORIA STALEY"/>
    <d v="2025-01-31T00:00:00"/>
    <d v="2025-01-31T00:00:00"/>
    <x v="0"/>
  </r>
  <r>
    <s v="NS-028a"/>
    <s v="3. OPS Proxy Service Enablement"/>
    <s v="VICTORIA STALEY"/>
    <d v="2025-03-31T00:00:00"/>
    <m/>
    <x v="2"/>
  </r>
  <r>
    <s v="PLCM-ESXALC-24"/>
    <s v="Kick-Off"/>
    <s v="MACIEJ STEPIEN"/>
    <d v="2024-04-16T00:00:00"/>
    <d v="2024-04-16T00:00:00"/>
    <x v="0"/>
  </r>
  <r>
    <s v="PLCM-ESXALC-24"/>
    <s v="MST-1: BOM and Solution DSD created"/>
    <s v="MACIEJ STEPIEN"/>
    <d v="2024-11-30T00:00:00"/>
    <d v="2024-11-30T00:00:00"/>
    <x v="0"/>
  </r>
  <r>
    <s v="PLCM-ESXALC-24"/>
    <s v="Service Activation and Handovering to Operations"/>
    <s v="MACIEJ STEPIEN"/>
    <d v="2025-02-28T00:00:00"/>
    <m/>
    <x v="1"/>
  </r>
  <r>
    <s v="PLCM-ESXALC-24"/>
    <s v="Official Project Closure on DPPB"/>
    <s v="MACIEJ STEPIEN"/>
    <d v="2025-03-31T00:00:00"/>
    <m/>
    <x v="1"/>
  </r>
  <r>
    <s v="PLCM-ESXALC-24"/>
    <s v="ESXALC Project Closure (DPPB)"/>
    <s v="MACIEJ STEPIEN"/>
    <d v="2025-03-31T00:00:00"/>
    <m/>
    <x v="1"/>
  </r>
  <r>
    <s v="PLCM-ALCRPL-24"/>
    <s v="Official Project Closure on DPPB"/>
    <s v=""/>
    <d v="2024-05-06T00:00:00"/>
    <m/>
    <x v="5"/>
  </r>
  <r>
    <s v="PLCM-ALCRPL-24"/>
    <s v="Official Project Closure on DPPB"/>
    <s v="JAKUB WENDA"/>
    <d v="2024-05-06T00:00:00"/>
    <m/>
    <x v="1"/>
  </r>
  <r>
    <s v="PLCM-ESXALC-24"/>
    <s v="MST-2: New ALC cluster delivery and racking"/>
    <s v="MACIEJ STEPIEN"/>
    <d v="2025-02-17T00:00:00"/>
    <d v="2025-02-17T00:00:00"/>
    <x v="0"/>
  </r>
  <r>
    <s v="PLCM-NSX4-24"/>
    <s v="Kick-Off"/>
    <s v="MACIEJ STEPIEN"/>
    <d v="2024-08-01T00:00:00"/>
    <d v="2024-08-01T00:00:00"/>
    <x v="0"/>
  </r>
  <r>
    <s v="PLCM-NSX4-24"/>
    <s v="MST-1: HLD + NSX4 migrated in TEST"/>
    <s v="MACIEJ STEPIEN"/>
    <d v="2025-04-01T00:00:00"/>
    <m/>
    <x v="2"/>
  </r>
  <r>
    <s v="PLCM-NSX4-24"/>
    <s v="MST-2: NSX4 migrated in NM-DEV (Agencies)"/>
    <s v="MACIEJ STEPIEN"/>
    <d v="2025-04-30T00:00:00"/>
    <m/>
    <x v="2"/>
  </r>
  <r>
    <s v="PLCM-NSX4-24"/>
    <s v="MST-3: NSX4 migrated in NM-OPS"/>
    <s v="MACIEJ STEPIEN"/>
    <d v="2025-05-31T00:00:00"/>
    <m/>
    <x v="1"/>
  </r>
  <r>
    <s v="PLCM-NSX4-24"/>
    <s v="MST-4: Project Formal Closure Completed"/>
    <s v="MACIEJ STEPIEN"/>
    <d v="2025-06-30T00:00:00"/>
    <m/>
    <x v="1"/>
  </r>
  <r>
    <s v="PLCM-STSRPL-24"/>
    <s v="Physical installation Completed"/>
    <s v="JAKUB WENDA"/>
    <d v="2024-12-13T00:00:00"/>
    <d v="2024-12-13T00:00:00"/>
    <x v="0"/>
  </r>
  <r>
    <s v="PLCM-STSRPL-24"/>
    <s v="New backup set up"/>
    <s v="JAKUB WENDA"/>
    <d v="2025-04-11T00:00:00"/>
    <m/>
    <x v="4"/>
  </r>
  <r>
    <s v="PLCM-STSRPL-24"/>
    <s v="Old hardware removed and handed over to DC Team"/>
    <s v="JAKUB WENDA"/>
    <d v="2025-04-25T00:00:00"/>
    <m/>
    <x v="4"/>
  </r>
  <r>
    <s v="PLCM-STSRPL-24"/>
    <s v="Project Completed"/>
    <s v="JAKUB WENDA"/>
    <d v="2025-05-09T00:00:00"/>
    <m/>
    <x v="4"/>
  </r>
  <r>
    <s v="PLCM-VMU8-24"/>
    <s v="Kick off"/>
    <s v="MACIEJ STEPIEN"/>
    <d v="2024-07-15T00:00:00"/>
    <d v="2024-07-15T00:00:00"/>
    <x v="0"/>
  </r>
  <r>
    <s v="PLCM-VMU8-24"/>
    <s v="HLD + TEST BLACK2 completed"/>
    <s v="MACIEJ STEPIEN"/>
    <d v="2024-12-16T00:00:00"/>
    <d v="2024-12-16T00:00:00"/>
    <x v="0"/>
  </r>
  <r>
    <s v="PLCM-VMU8-24"/>
    <s v="AGN ESXi servers upgraded (PHASE #1)"/>
    <s v="MACIEJ STEPIEN"/>
    <d v="2025-03-31T00:00:00"/>
    <m/>
    <x v="1"/>
  </r>
  <r>
    <s v="PLCM-VMU8-24"/>
    <s v="OPS ESXi servers upgraded (PHASE #1)"/>
    <s v="MACIEJ STEPIEN"/>
    <d v="2025-03-31T00:00:00"/>
    <m/>
    <x v="1"/>
  </r>
  <r>
    <s v="PLCM-VMU8-24"/>
    <s v="OPS ESXi servers upgraded (PHASE #2)"/>
    <s v="MACIEJ STEPIEN"/>
    <d v="2025-12-31T00:00:00"/>
    <m/>
    <x v="1"/>
  </r>
  <r>
    <s v="PLCM-VMU8-24"/>
    <s v="AGN ESXi servers upgraded (PHASE #2)"/>
    <s v="MACIEJ STEPIEN"/>
    <d v="2025-12-31T00:00:00"/>
    <m/>
    <x v="1"/>
  </r>
  <r>
    <s v="PLCM-VMU8-24"/>
    <s v="Project Formal Closure Completed"/>
    <s v="MACIEJ STEPIEN"/>
    <d v="2026-01-31T00:00:00"/>
    <m/>
    <x v="1"/>
  </r>
  <r>
    <s v="RHACS"/>
    <s v="HLD delivery"/>
    <s v="MICHAL SZAJOWKA"/>
    <d v="2024-05-06T00:00:00"/>
    <d v="2024-05-06T00:00:00"/>
    <x v="0"/>
  </r>
  <r>
    <s v="RHACS"/>
    <s v="Delivery of solution"/>
    <s v="MICHAL SZAJOWKA"/>
    <d v="2025-03-31T00:00:00"/>
    <m/>
    <x v="1"/>
  </r>
  <r>
    <s v="RHACS"/>
    <s v="Official Project Closure"/>
    <s v="MICHAL SZAJOWKA"/>
    <d v="2025-05-31T00:00:00"/>
    <m/>
    <x v="1"/>
  </r>
  <r>
    <s v="SNOPOC"/>
    <s v=" Preparation completed"/>
    <s v="JAKUB WENDA"/>
    <d v="2024-06-14T00:00:00"/>
    <m/>
    <x v="5"/>
  </r>
  <r>
    <s v="SNOPOC"/>
    <s v="Agents deployment and configuration completed"/>
    <s v="JAKUB WENDA"/>
    <d v="2024-07-12T00:00:00"/>
    <m/>
    <x v="5"/>
  </r>
  <r>
    <s v="SNOPOC"/>
    <s v="Testing completed"/>
    <s v="JAKUB WENDA"/>
    <d v="2024-07-19T00:00:00"/>
    <m/>
    <x v="5"/>
  </r>
  <r>
    <s v="SNOPOC"/>
    <s v="Closure completed "/>
    <s v="JAKUB WENDA"/>
    <d v="2024-07-31T00:00:00"/>
    <m/>
    <x v="5"/>
  </r>
  <r>
    <s v="STOBAR"/>
    <s v="Petri Block Migrated"/>
    <s v="JAKUB WENDA"/>
    <d v="2023-06-16T00:00:00"/>
    <d v="2023-06-16T00:00:00"/>
    <x v="0"/>
  </r>
  <r>
    <s v="STOBAR"/>
    <s v="Obelix Block Migrated"/>
    <s v="JAKUB WENDA"/>
    <d v="2023-07-14T00:00:00"/>
    <d v="2023-07-14T00:00:00"/>
    <x v="0"/>
  </r>
  <r>
    <s v="STOBAR"/>
    <s v="Datadobi license for Petri procured"/>
    <s v="JAKUB WENDA"/>
    <d v="2023-08-10T00:00:00"/>
    <d v="2023-08-10T00:00:00"/>
    <x v="0"/>
  </r>
  <r>
    <s v="STOBAR"/>
    <s v="SAN Switches Migrated"/>
    <s v="JAKUB WENDA"/>
    <d v="2023-10-13T00:00:00"/>
    <d v="2023-10-13T00:00:00"/>
    <x v="0"/>
  </r>
  <r>
    <s v="STOBAR"/>
    <s v="Petri File migrated"/>
    <s v="JAKUB WENDA"/>
    <d v="2024-04-05T00:00:00"/>
    <d v="2024-04-05T00:00:00"/>
    <x v="0"/>
  </r>
  <r>
    <s v="STOBAR"/>
    <s v="Datadobi license for Obelix procured"/>
    <s v="JAKUB WENDA"/>
    <d v="2024-04-12T00:00:00"/>
    <d v="2024-04-12T00:00:00"/>
    <x v="0"/>
  </r>
  <r>
    <s v="STOBAR"/>
    <s v="Obelix File Migrated"/>
    <s v="JAKUB WENDA"/>
    <d v="2024-12-09T00:00:00"/>
    <d v="2024-12-09T00:00:00"/>
    <x v="0"/>
  </r>
  <r>
    <s v="STOBAR"/>
    <s v="Decommission completed"/>
    <s v="JAKUB WENDA"/>
    <d v="2025-03-31T00:00:00"/>
    <m/>
    <x v="1"/>
  </r>
  <r>
    <s v="STOBAR"/>
    <s v="Project closed"/>
    <s v="JAKUB WENDA"/>
    <d v="2025-04-04T00:00:00"/>
    <m/>
    <x v="1"/>
  </r>
  <r>
    <s v="Workstation replacement "/>
    <s v="Official Project Closure on DPPB"/>
    <s v="PAULINE BUSIN"/>
    <d v="2025-06-02T00:00:00"/>
    <m/>
    <x v="4"/>
  </r>
  <r>
    <m/>
    <m/>
    <m/>
    <m/>
    <m/>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NCSI-CRE-24"/>
    <s v="RSK0001203"/>
    <s v="decom of the switches D3/D4 not possible by 31/3, due to superdome, D11/D12"/>
    <s v="3 - Low"/>
    <s v="1 - High"/>
    <s v="Pending"/>
    <x v="0"/>
    <s v="PHILIPPE CLOSSET"/>
    <s v="HENDRIK CARDOEN"/>
    <s v="wait until superdome migration could be possible, and extend the milestone of the decom  D3/D4"/>
    <x v="0"/>
  </r>
  <r>
    <s v="NCSI-CRE-24"/>
    <s v="RSK0001202"/>
    <s v="D1/D2 decommissioning not in time before 31/3"/>
    <s v="3 - Low"/>
    <s v="1 - High"/>
    <s v="Pending"/>
    <x v="0"/>
    <s v="PHILIPPE CLOSSET"/>
    <s v="HENDRIK CARDOEN"/>
    <s v="continue the migration behind the switches to allow the decom. than extend the project of some weeks"/>
    <x v="0"/>
  </r>
  <r>
    <s v="NCSI-CRE-24"/>
    <s v="RSK0001200"/>
    <s v="CTH1/2 phase out could not be done on time"/>
    <s v="3 - Low"/>
    <s v="3 - Low"/>
    <s v="Pending"/>
    <x v="1"/>
    <s v="PHILIPPE CLOSSET"/>
    <s v="HENDRIK CARDOEN"/>
    <s v="Need to redesign the routing on CIT003"/>
    <x v="0"/>
  </r>
  <r>
    <s v="NCSI-CRCO-24"/>
    <s v="RSK0001185"/>
    <s v="late delivery of the switches"/>
    <s v="2 - Medium"/>
    <s v="2 - Moderate"/>
    <s v="Accept"/>
    <x v="0"/>
    <s v="PHILIPPE CLOSSET"/>
    <s v="JACEK BIEDRZYCKI"/>
    <s v="None"/>
    <x v="1"/>
  </r>
  <r>
    <s v="CIT003"/>
    <s v="RSK0001176"/>
    <s v="dedicated resource"/>
    <s v="2 - Medium"/>
    <s v="2 - Moderate"/>
    <s v="Achieved"/>
    <x v="0"/>
    <s v="PHILIPPE CLOSSET"/>
    <s v="JACEK BIEDRZYCKI"/>
    <s v=""/>
    <x v="2"/>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DR-002 "/>
    <s v="This is the project formerly known as NS-017 (Enterprise hybrid connectivity to cloud) in the 2024 transformation plans._x000a_Deploy ExpressRoute to establish a dedicated and secure connection between EUROCONTROL's on-premises network and Microsoft Azure cloud services. The approved solution from the SAB Issue Analysis 071 presentation was Option 1, which includes setting up two ExpressRoutes: one from Haren and the other from Bretigny to facilitate connectivity to Azure._x000a_The eEAD application, deployed in Azure cloud locations for Wave 1 (new for OPS/OPT, existing for DevTest), can utilize the on-premises network to connect with EAD in Frequentis for synchronization."/>
    <x v="0"/>
    <s v="Work in Progress"/>
    <n v="0.58799999999999997"/>
    <x v="0"/>
    <s v="1 - Critical"/>
    <s v="VICTORIA STALEY"/>
  </r>
  <r>
    <s v="NCSI-ALCN-25"/>
    <s v="ALC Network Redesign and LCM Replacement (NCSI-ALCN-25) ."/>
    <x v="1"/>
    <s v="Pending"/>
    <n v="0"/>
    <x v="1"/>
    <s v="1 - Critical"/>
    <s v="PHILIPPE CLOSSET"/>
  </r>
  <r>
    <s v="NCSI-BW-24"/>
    <s v="Bandwidth Increase Project (WAN and LAN), ALC, Haren, Bretigny_x000a_part of workplan 2024"/>
    <x v="1"/>
    <s v="Pending"/>
    <n v="0"/>
    <x v="1"/>
    <s v="1 - Critical"/>
    <s v="PHILIPPE CLOSSET"/>
  </r>
  <r>
    <s v="NCSI-CRE-24"/>
    <s v="Core Routing Evolution / Decommissioning of CTH1/2, HQD1/2, HQD3/4, S6, S7, old-OPS-Campus_x000a__x000a_Modernize core routing by decommissioning legacy systems and integrating advanced networking solutions within the CIT003 topology, enhancing performance, reducing complexity, and ensuring future scalability_x000a__x000a_Included at workplan 2024 as NCSI-CRE-24, €120.000."/>
    <x v="0"/>
    <s v="Work in Progress"/>
    <n v="0.55000000000000004"/>
    <x v="1"/>
    <s v="1 - Critical"/>
    <s v="PHILIPPE CLOSSET"/>
  </r>
  <r>
    <s v="NLCM-BRET-24"/>
    <s v="Revise and improve the Bretigny network topology to ensure it's streamlined, efficient, and free from unnecessary complexities. This will improve network performance, reduce the risk of downtime, and enhance user experience._x000a_part of workplan 2024_x000a_replacement of Bretigny Network (complete network is out of support)"/>
    <x v="1"/>
    <s v="Pending"/>
    <n v="0"/>
    <x v="1"/>
    <s v="1 - Critical"/>
    <s v="PHILIPPE CLOSSET"/>
  </r>
  <r>
    <s v="NLCM-NEX-24"/>
    <s v="Demand for Cisco Nexus N7k (Network Core and DC Distribution) Replacement under Life-Cycle Management_x000a_part of workplan 2024_x000a_Nexus Switches (Data Center Refresh) "/>
    <x v="1"/>
    <s v="Work in Progress"/>
    <n v="0.05"/>
    <x v="1"/>
    <s v="1 - Critical"/>
    <s v="PHILIPPE CLOSSET"/>
  </r>
  <r>
    <s v="ESXRF2"/>
    <s v="ESXRF2 - Obsolete NON-OPS ESXi hosts replacement_x000a__x000a_Part of MNP LCM plan 2024_x000a__x000a_Due to the obsolescence of below hosts (reaching end-of-life, no longer covered by technical support) there is the need to replace them with new hardware._x000a__x000a_There are 29 obsolete NON-OPS hosts to be replaced (their names, model and localization in attached Excel file) in the scope of ESXRF2._x000a__x000a_In addition – most of these obsolete clusters are based on Bull Bullion S2 ESXi servers, which are not compatible with vSphere 8.0. _x000a__x000a_Moreover, there are 7 HP DL380p Gen8 servers (currently running vSphere 6.5), which are not even compatible with vSphere 7.0. These hosts were excluded from the VMU7 project scope and are going to be upgraded to vSphere 7.0 after hardware replacement._x000a__x000a_All the old hosts after replacement are going to be unmounted and decommissioned."/>
    <x v="0"/>
    <s v="Work in Progress"/>
    <n v="0.28999999999999998"/>
    <x v="0"/>
    <s v="2 - High"/>
    <s v="MACIEJ STEPIEN"/>
  </r>
  <r>
    <s v="PLCM-ESXALC-24"/>
    <s v="PLCM-ESXALC-24 is LCM project activity dedicated for obsolete ALC cluster (IANS) replacement._x000a_All 4 ALC servers are still based on very old platform (HPE Gen8) uses  obsolete VMware 6.5 version (new VMware 8.0 is not supported on them)_x000a_The current 4 ESXi servers are going to be replaced with 3 HPE Gen11, increasing the capacity and providing new hardware platform to allow VMware 8.0 upgrade in 2024 (under PLCM-VMU8-24 project activity)_x000a__x000a_part of workplan 2024_x000a_it is a subset of the ALCRPL project_x000a_some hardware needs to be replaced earlier - hence they split the project in two"/>
    <x v="0"/>
    <s v="Work in Progress"/>
    <n v="0.85"/>
    <x v="0"/>
    <s v="2 - High"/>
    <s v="MACIEJ STEPIEN"/>
  </r>
  <r>
    <s v="PLCM-NSX4-24"/>
    <s v="NSX-T (network virtualization and security platform) is no longer supported and must be replaced by NSX4. Data migration from current NSX-T to new NSX4 solution is the only possibility available."/>
    <x v="0"/>
    <s v="Work in Progress"/>
    <n v="0.43"/>
    <x v="0"/>
    <s v="2 - High"/>
    <s v="MACIEJ STEPIEN"/>
  </r>
  <r>
    <s v="PLCM-VMU8-24"/>
    <s v="PLCM-VMU8-24 (BL.742578.816) is dedicated project for VMware upgrade from the current 6.X/7/X to 8.0 on all ESXi servers on NON-OPS and OPS in 2024 (+Q1 2025)_x000a_There is need to upgrade VMware existing on ESXi hosts in DCs into the newer version 8.0 (the current version of VMware is mostly 7.X but there are still few clusters (DENIM, IANS) working on the older one 6.5)_x000a_The planned project timeline is from 1st of April till the 31-Mar-2025 (2024 Q4 - 2025 Q1) due to the VMware extension support deadline for VMware 7.0 with the end of Q1 2025_x000a__x000a_In workplan 2024 Vmware 8"/>
    <x v="0"/>
    <s v="Work in Progress"/>
    <n v="0.28999999999999998"/>
    <x v="0"/>
    <s v="2 - High"/>
    <s v="MACIEJ STEPIEN"/>
  </r>
  <r>
    <s v="ESXRF3"/>
    <s v="ESXRF3 - Obsolete NM-OPS ESXi hosts replacement_x000a_Due to the obsolescence of below listed 3 NM-OPS clusters below hosts (reaching end-of-life, no longer covered by technical support) there is the need to replace them with new hardware._x000a_In addition – these obsolete clusters are based on Bull Bullion S2 ESXi servers, which are not compatible with vSphere 8.0 (upgrade is processing under VMU8 with current vSphere 7.X extended support deadline on 2nd of October 2025)."/>
    <x v="0"/>
    <s v="Work in Progress"/>
    <n v="0.12"/>
    <x v="1"/>
    <s v="3 - Moderate"/>
    <s v="MACIEJ STEPIEN"/>
  </r>
  <r>
    <s v="RHACS"/>
    <s v="ODS-MNP-137 Openshift Advance Cluster Security NM-DEV_x000a__x000a_This demand requests the activation of Redhat Advanced Cluster Security functionality on all on-premise Openshift clusters (including NM-DEV / SIV cluster, NM-OPT, NM-OPS and the on-premise DPLT openshift instances). _x000a__x000a_Redhat ACS is an Openshift addon (an &quot;operator&quot;) which provides a dashboard on the state of security settings on all managed cluster &amp; nodes itself, on the state of the containers running on those clusters and will generate real-time alerts in case anomalies are detected in the containers._x000a__x000a_EUROCONTROL already has licenses covering the usage of ACS. No additional licenses are needed._x000a__x000a_This is a good moment to deploy ACM as well (Advanced Cluster Management). ACM provides a single point for managing multiple Openshift clusters. ACM will ease the administration and shorten waiting times for upgrades. ACS can be deployed without ACM, it's not mandatory but a good idea._x000a__x000a_Initial feedback from Atos: this will require the creation of dedicated clusters for running control traffic (ACS+ACM) and will constitute the biggest chunk of work requested by this demand. This will require additional Openshift licenses to be bought._x000a__x000a_The POC has been put in place and has shown that:_x000a_- clear Advantages for security teams (validate security compliance dashboard, validate alerts on containers, see whether info on vulnerable containers is useful)_x000a_- info can be sent to the SOC_x000a_- performance impact is not negligeable and Redhat recommends the setup of a separate openshift cluster for this_x000a__x000a_-----_x000a_HISTORY OF THE REQUEST_x000a_-----_x000a_In RITM0160885, I asked for a proof-of-concept of Redhat Advanced Cluster Security on one of our Openshift cluster (development). The solution does not interfere with running containers but provides visibility on security misconfigurations on the deployments, vulnerabilities in running containers and detects strange things such as interactive commands in containers which could indicate a compromise of the container. Furthermore, it provides compliance dashboarding._x000a__x000a_I understand from Filip Kryspin (MNP) that:_x000a_- Licenses are not an issue since this is included in the cluster management pack licenses we have bought and hence this feature does not require additional licenses to test/run_x000a_- A HLD will be prepared for the &quot;cluster management &quot;  (ACM) from Redhat and there is potential synergy in deploying Redhat ACS &amp; ACM._x000a__x000a_Atos has let me know they will like to see a demand filed for the further creation and setup of Redhat ACS to monitor all of our Openshift clusters. Hence, I'm requesting a proposal from Atos to design and deploy a combined ACM+ACS solution to cover all of our Openshift clusters."/>
    <x v="0"/>
    <s v="Work in Progress"/>
    <n v="0.8"/>
    <x v="1"/>
    <s v="3 - Moderate"/>
    <s v="MICHAL SZAJOWKA"/>
  </r>
  <r>
    <s v="B2BP"/>
    <s v="B2BP Contingency of B2B over PENS _x000a_ODS-MNP-112 "/>
    <x v="0"/>
    <s v="Work in Progress"/>
    <n v="0.96030000000000004"/>
    <x v="1"/>
    <s v="4 - Low"/>
    <s v="MICHAL SZAJOWKA"/>
  </r>
  <r>
    <s v="NCSI-CRCO-24"/>
    <s v="Phase 2 of the CRCO Network Infrastructure Transformation project focuses on executing migration and operational handover based on Phase 1 (NBIZ-CRCO, DMND0001469) audit recommendations. This includes upgrading network infrastructure, enhancing security, and ensuring compliance with EUROCONTROL standards._x000a__x000a_This is in the workplan 2024 as NCSI-CRCODC, CRCO DC Integration"/>
    <x v="2"/>
    <s v="Work in Progress"/>
    <n v="0.99"/>
    <x v="1"/>
    <s v="4 - Low"/>
    <s v="PHILIPPE CLOSSET"/>
  </r>
  <r>
    <s v="NLCM-RGNPM-23"/>
    <s v="Request for Riverbed and Gigamon Replacement under Life-Cycle Management"/>
    <x v="1"/>
    <s v="Pending"/>
    <n v="0"/>
    <x v="1"/>
    <s v="4 - Low"/>
    <s v="MICHAL SZAJOWKA"/>
  </r>
  <r>
    <s v="NS-009a"/>
    <s v="NS-009a_x000a_NMGT-EVO-STUDY_x000a_ODS-MNP-244_x000a_Network Evolution Study: CIT003 Integration, Network Audit and  Network Improvement Proposals_x000a_Project SharePoint link: https://coll.eurocontrol.int/sites/ppp/PGM/NS-009a/SitePages/Home.aspx"/>
    <x v="2"/>
    <s v="Work in Progress"/>
    <n v="0.86539999999999995"/>
    <x v="0"/>
    <s v="4 - Low"/>
    <s v="VICTORIA STALEY"/>
  </r>
  <r>
    <s v="NS-009b"/>
    <s v="Network Evolution Study and Recommendations_x000a_​Define the target architecture and implementation proposal to address the wave 1 and 2 topics of iNM _x000a_MNP Transformation plan 2023_x000a_ODS-MNP-245_x000a_Project SharePoint: https://coll.eurocontrol.int/sites/ppp/PGM/NS-009b/SitePages/Home.aspx_x000a_"/>
    <x v="2"/>
    <s v="Work in Progress"/>
    <n v="0.99709999999999999"/>
    <x v="0"/>
    <s v="4 - Low"/>
    <s v="VICTORIA STALEY"/>
  </r>
  <r>
    <s v="NS-010"/>
    <s v="SASE Analysis_x000a_MNP Transformation plan 2023_x000a_ODS-MNP-155_x000a_Project SharePoint: https://coll.eurocontrol.int/sites/ppp/PGM/NS-010/SitePages/Home.aspx"/>
    <x v="0"/>
    <s v="Work in Progress"/>
    <n v="0.996"/>
    <x v="0"/>
    <s v="4 - Low"/>
    <s v="VICTORIA STALEY"/>
  </r>
  <r>
    <s v="NS-011"/>
    <s v="NS-011 : Cloud Ready edge design  _x000a_Part of MNP Transformation plan 2023_x000a_ODS-MNP-247_x000a_Project SharePoint: https://coll.eurocontrol.int/sites/ppp/PGM/NS-011/SitePages/Home.aspx"/>
    <x v="2"/>
    <s v="Work in Progress"/>
    <n v="0.99319999999999997"/>
    <x v="0"/>
    <s v="4 - Low"/>
    <s v="VICTORIA STALEY"/>
  </r>
  <r>
    <s v="NS-018a"/>
    <s v="This project is formerly known as NS-018 (Deployment of building block for edge connectivity) in 2024 transformation plan._x000a_The aim of this project is to deliver the CRE core infrastructure, configure it, and integrate it into the existing network environment. This will provide the foundational building block to support upcoming use cases without specifically incorporating the additional configurations needed for their integration._x000a_Implement the CRE building block required to support the subsequent migration of iNM connectivity necessary for Wave 2 (migration facilitated by DR003), as well as additional use cases for both OPS and AGN at the Haren and Bretigny sites. This is outlined in NS-009b SAB Issue Analysis 074 (option 3) and the NS-011 Architectural Analysis._x000a_"/>
    <x v="0"/>
    <s v="Work in Progress"/>
    <n v="0.51529999999999998"/>
    <x v="0"/>
    <s v="4 - Low"/>
    <s v="VICTORIA STALEY"/>
  </r>
  <r>
    <s v="PLCM-ALCRPL-24"/>
    <s v="Replacement of obsolete storage/backup devices and additional SAN switches ports provision in Luxembourg._x000a_Part of WorkPlan 2024 (PLCM- ALCRPL-24), funded via LCD069 (budget €34,360)"/>
    <x v="1"/>
    <s v="Pending"/>
    <n v="0"/>
    <x v="0"/>
    <s v="4 - Low"/>
    <s v="JAKUB WENDA"/>
  </r>
  <r>
    <s v="PLCM-STSRPL-24"/>
    <s v="Replacement of  Obsolete Standalone Backup Servers._x000a_Part of WorkPlan 2024 (STSRRP),  to be funded via LCD069 (budget 50 670 EUR)."/>
    <x v="0"/>
    <s v="Work in Progress"/>
    <n v="0.2"/>
    <x v="1"/>
    <s v="4 - Low"/>
    <s v="JAKUB WENDA"/>
  </r>
  <r>
    <s v="SNOPOC"/>
    <s v="SNOW PoC for MNP managed devices _x000a__x000a_SNOW PoC MNP (SNOPOC) is going to be covered by LCD069."/>
    <x v="0"/>
    <s v="Pending Customer"/>
    <n v="7.0000000000000007E-2"/>
    <x v="0"/>
    <s v="4 - Low"/>
    <s v="JAKUB WENDA"/>
  </r>
  <r>
    <s v="STOBAR"/>
    <s v="Storage and backup replacement ODS-MNP-186_x000a__x000a_Background:_x000a_  - Capacity issues reported for Petri, Obelix, DD4, DD5_x000a_  - Obsolescence of Petri, Obelix, DD4 and SAN switches_x000a_Environments:_x000a_ - EEC/AGN – IFPU2, Bretigny – Petri, Block and File storage_x000a_ - EEC/AGN/CAPRI – IFPU2, Bretigny – DD5, shared backup_x000a_ -  AGENCY/CINDI - Mercator, Haren, Obelix Block and File storage_x000a_ - AGENCY/CINDI/CAPRI – Mercator, Haren, DD4, DD7 shared backup_x000a_Objectives:_x000a_ - Remove the obsolescence_x000a_ - Provide more capacity to fulfil the needs and remove issues_x000a_"/>
    <x v="0"/>
    <s v="Work in Progress"/>
    <n v="0.99"/>
    <x v="2"/>
    <s v="4 - Low"/>
    <s v="JAKUB WENDA"/>
  </r>
  <r>
    <m/>
    <m/>
    <x v="3"/>
    <m/>
    <m/>
    <x v="3"/>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ESXRF2"/>
    <s v="ISU0010057"/>
    <s v="ESXRF2 project covers crucial obsolete clusters (not supported) to be replaced + potential lack of MNP resources"/>
    <x v="0"/>
    <x v="0"/>
    <m/>
    <x v="0"/>
  </r>
  <r>
    <s v="PLCM-ESXALC-24"/>
    <s v="ISU0010058"/>
    <s v="Delayed project related obsolete clusters (not supported hardware and old VMware 6.5 platform) to be replaced + potential lack of MNP resources due to started o"/>
    <x v="0"/>
    <x v="0"/>
    <m/>
    <x v="0"/>
  </r>
  <r>
    <s v="PLCM-VMU8-24"/>
    <s v="ISU0010059"/>
    <s v="PLCM-VMU8-24 – issue created in ServiceNOW related support deadline and resources availability"/>
    <x v="0"/>
    <x v="0"/>
    <m/>
    <x v="0"/>
  </r>
  <r>
    <s v="SNOPOC"/>
    <s v="ISU0010060"/>
    <s v="Project on hold "/>
    <x v="1"/>
    <x v="0"/>
    <m/>
    <x v="0"/>
  </r>
  <r>
    <s v="SNOPOC"/>
    <s v="ISU0010061"/>
    <s v="MNP Staff reduction "/>
    <x v="2"/>
    <x v="1"/>
    <m/>
    <x v="0"/>
  </r>
  <r>
    <s v="NTRF-CFDDoS"/>
    <s v="ISU0010063"/>
    <s v="KB0012968 v0.02  - pending Agency Security approval"/>
    <x v="2"/>
    <x v="1"/>
    <m/>
    <x v="0"/>
  </r>
  <r>
    <s v="NLCM-BRET-24"/>
    <s v="ISU0010068"/>
    <s v="project on hold"/>
    <x v="0"/>
    <x v="0"/>
    <d v="2024-12-31T00:00:00"/>
    <x v="0"/>
  </r>
  <r>
    <s v="NLCM-RGNPM-23"/>
    <s v="ISU0010070"/>
    <s v="Due to the LCD069 budget constraints - the project has been put on hold"/>
    <x v="0"/>
    <x v="0"/>
    <d v="2024-07-31T00:00:00"/>
    <x v="0"/>
  </r>
  <r>
    <s v="NCSI-CZ-24"/>
    <s v="ISU0010071"/>
    <s v="Due to the LCD069 budget constraints - the project has been put on hold"/>
    <x v="0"/>
    <x v="0"/>
    <m/>
    <x v="0"/>
  </r>
  <r>
    <s v="NLCM-WLC-23"/>
    <s v="ISU0010072"/>
    <s v="Due to the LCD069 budget constraints - the closure of this project has been put on-hold, as process is unknown"/>
    <x v="2"/>
    <x v="1"/>
    <m/>
    <x v="0"/>
  </r>
  <r>
    <s v="NLCM-PRXY-23"/>
    <s v="ISU0010073"/>
    <s v="Due to the LCD069 budget constraints - the closure of this project has been put on-hold, as current process for closure is unknown"/>
    <x v="2"/>
    <x v="1"/>
    <m/>
    <x v="0"/>
  </r>
  <r>
    <s v="STOBAR"/>
    <s v="ISU0010082"/>
    <s v="Delay, due to the complexity of the impact assessment activities of migration"/>
    <x v="0"/>
    <x v="0"/>
    <m/>
    <x v="0"/>
  </r>
  <r>
    <s v="STOBAR"/>
    <s v="ISU0010083"/>
    <s v="Datadobi - files migration issues"/>
    <x v="0"/>
    <x v="0"/>
    <m/>
    <x v="0"/>
  </r>
  <r>
    <s v="PLCM-NSX4-24"/>
    <s v="ISU0010084"/>
    <s v="new request form Eurocontrol received regarding new VRF/VLAN creation "/>
    <x v="3"/>
    <x v="0"/>
    <m/>
    <x v="0"/>
  </r>
  <r>
    <s v="PLCM-VMU8-24"/>
    <s v="ISU0010085"/>
    <s v="High dependency to delayed NSX4 (scope extension requested) causing additional delay for VMU8"/>
    <x v="3"/>
    <x v="0"/>
    <m/>
    <x v="0"/>
  </r>
  <r>
    <s v="STOBAR"/>
    <s v="ISU0010086"/>
    <s v="On site presence in Haren office required for Obelix file migration"/>
    <x v="3"/>
    <x v="2"/>
    <m/>
    <x v="0"/>
  </r>
  <r>
    <s v="STOBAR"/>
    <s v="ISU0010087"/>
    <s v="Obelix device can not be decommissioned till the end of  January"/>
    <x v="3"/>
    <x v="2"/>
    <m/>
    <x v="0"/>
  </r>
  <r>
    <s v="PLCM-STSRPL-24"/>
    <s v="ISU0010089"/>
    <s v="Networks TA availability "/>
    <x v="0"/>
    <x v="1"/>
    <m/>
    <x v="0"/>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DR-002 "/>
    <s v="This is the project formerly known as NS-017 (Enterprise hybrid connectivity to cloud) in the 2024 transformation plans._x000a_Deploy ExpressRoute to establish a dedicated and secure connection between EUROCONTROL's on-premises network and Microsoft Azure cloud services. The approved solution from the SAB Issue Analysis 071 presentation was Option 1, which includes setting up two ExpressRoutes: one from Haren and the other from Bretigny to facilitate connectivity to Azure._x000a_The eEAD application, deployed in Azure cloud locations for Wave 1 (new for OPS/OPT, existing for DevTest), can utilize the on-premises network to connect with EAD in Frequentis for synchronization."/>
    <x v="0"/>
    <s v="Work in Progress"/>
    <n v="0.58799999999999997"/>
    <x v="0"/>
  </r>
  <r>
    <s v="NCSI-ALCN-25"/>
    <s v="ALC Network Redesign and LCM Replacement (NCSI-ALCN-25) ."/>
    <x v="1"/>
    <s v="Pending"/>
    <n v="0"/>
    <x v="1"/>
  </r>
  <r>
    <s v="NCSI-BW-24"/>
    <s v="Bandwidth Increase Project (WAN and LAN), ALC, Haren, Bretigny_x000a_part of workplan 2024"/>
    <x v="1"/>
    <s v="Pending"/>
    <n v="0"/>
    <x v="1"/>
  </r>
  <r>
    <s v="NCSI-CRE-24"/>
    <s v="Core Routing Evolution / Decommissioning of CTH1/2, HQD1/2, HQD3/4, S6, S7, old-OPS-Campus_x000a__x000a_Modernize core routing by decommissioning legacy systems and integrating advanced networking solutions within the CIT003 topology, enhancing performance, reducing complexity, and ensuring future scalability_x000a__x000a_Included at workplan 2024 as NCSI-CRE-24, €120.000."/>
    <x v="0"/>
    <s v="Work in Progress"/>
    <n v="0.55000000000000004"/>
    <x v="1"/>
  </r>
  <r>
    <s v="NLCM-BRET-24"/>
    <s v="Revise and improve the Bretigny network topology to ensure it's streamlined, efficient, and free from unnecessary complexities. This will improve network performance, reduce the risk of downtime, and enhance user experience._x000a_part of workplan 2024_x000a_replacement of Bretigny Network (complete network is out of support)"/>
    <x v="1"/>
    <s v="Pending"/>
    <n v="0"/>
    <x v="1"/>
  </r>
  <r>
    <s v="NLCM-NEX-24"/>
    <s v="Demand for Cisco Nexus N7k (Network Core and DC Distribution) Replacement under Life-Cycle Management_x000a_part of workplan 2024_x000a_Nexus Switches (Data Center Refresh) "/>
    <x v="1"/>
    <s v="Work in Progress"/>
    <n v="0.05"/>
    <x v="1"/>
  </r>
  <r>
    <s v="ESXRF2"/>
    <s v="ESXRF2 - Obsolete NON-OPS ESXi hosts replacement_x000a__x000a_Part of MNP LCM plan 2024_x000a__x000a_Due to the obsolescence of below hosts (reaching end-of-life, no longer covered by technical support) there is the need to replace them with new hardware._x000a__x000a_There are 29 obsolete NON-OPS hosts to be replaced (their names, model and localization in attached Excel file) in the scope of ESXRF2._x000a__x000a_In addition – most of these obsolete clusters are based on Bull Bullion S2 ESXi servers, which are not compatible with vSphere 8.0. _x000a__x000a_Moreover, there are 7 HP DL380p Gen8 servers (currently running vSphere 6.5), which are not even compatible with vSphere 7.0. These hosts were excluded from the VMU7 project scope and are going to be upgraded to vSphere 7.0 after hardware replacement._x000a__x000a_All the old hosts after replacement are going to be unmounted and decommissioned."/>
    <x v="0"/>
    <s v="Work in Progress"/>
    <n v="0.28999999999999998"/>
    <x v="0"/>
  </r>
  <r>
    <s v="PLCM-ESXALC-24"/>
    <s v="PLCM-ESXALC-24 is LCM project activity dedicated for obsolete ALC cluster (IANS) replacement._x000a_All 4 ALC servers are still based on very old platform (HPE Gen8) uses  obsolete VMware 6.5 version (new VMware 8.0 is not supported on them)_x000a_The current 4 ESXi servers are going to be replaced with 3 HPE Gen11, increasing the capacity and providing new hardware platform to allow VMware 8.0 upgrade in 2024 (under PLCM-VMU8-24 project activity)_x000a__x000a_part of workplan 2024_x000a_it is a subset of the ALCRPL project_x000a_some hardware needs to be replaced earlier - hence they split the project in two"/>
    <x v="0"/>
    <s v="Work in Progress"/>
    <n v="0.85"/>
    <x v="0"/>
  </r>
  <r>
    <s v="PLCM-NSX4-24"/>
    <s v="NSX-T (network virtualization and security platform) is no longer supported and must be replaced by NSX4. Data migration from current NSX-T to new NSX4 solution is the only possibility available."/>
    <x v="0"/>
    <s v="Work in Progress"/>
    <n v="0.43"/>
    <x v="0"/>
  </r>
  <r>
    <s v="PLCM-VMU8-24"/>
    <s v="PLCM-VMU8-24 (BL.742578.816) is dedicated project for VMware upgrade from the current 6.X/7/X to 8.0 on all ESXi servers on NON-OPS and OPS in 2024 (+Q1 2025)_x000a_There is need to upgrade VMware existing on ESXi hosts in DCs into the newer version 8.0 (the current version of VMware is mostly 7.X but there are still few clusters (DENIM, IANS) working on the older one 6.5)_x000a_The planned project timeline is from 1st of April till the 31-Mar-2025 (2024 Q4 - 2025 Q1) due to the VMware extension support deadline for VMware 7.0 with the end of Q1 2025_x000a__x000a_In workplan 2024 Vmware 8"/>
    <x v="0"/>
    <s v="Work in Progress"/>
    <n v="0.28999999999999998"/>
    <x v="0"/>
  </r>
  <r>
    <s v="ESXRF3"/>
    <s v="ESXRF3 - Obsolete NM-OPS ESXi hosts replacement_x000a_Due to the obsolescence of below listed 3 NM-OPS clusters below hosts (reaching end-of-life, no longer covered by technical support) there is the need to replace them with new hardware._x000a_In addition – these obsolete clusters are based on Bull Bullion S2 ESXi servers, which are not compatible with vSphere 8.0 (upgrade is processing under VMU8 with current vSphere 7.X extended support deadline on 2nd of October 2025)."/>
    <x v="0"/>
    <s v="Work in Progress"/>
    <n v="0.12"/>
    <x v="1"/>
  </r>
  <r>
    <s v="RHACS"/>
    <s v="ODS-MNP-137 Openshift Advance Cluster Security NM-DEV_x000a__x000a_This demand requests the activation of Redhat Advanced Cluster Security functionality on all on-premise Openshift clusters (including NM-DEV / SIV cluster, NM-OPT, NM-OPS and the on-premise DPLT openshift instances). _x000a__x000a_Redhat ACS is an Openshift addon (an &quot;operator&quot;) which provides a dashboard on the state of security settings on all managed cluster &amp; nodes itself, on the state of the containers running on those clusters and will generate real-time alerts in case anomalies are detected in the containers._x000a__x000a_EUROCONTROL already has licenses covering the usage of ACS. No additional licenses are needed._x000a__x000a_This is a good moment to deploy ACM as well (Advanced Cluster Management). ACM provides a single point for managing multiple Openshift clusters. ACM will ease the administration and shorten waiting times for upgrades. ACS can be deployed without ACM, it's not mandatory but a good idea._x000a__x000a_Initial feedback from Atos: this will require the creation of dedicated clusters for running control traffic (ACS+ACM) and will constitute the biggest chunk of work requested by this demand. This will require additional Openshift licenses to be bought._x000a__x000a_The POC has been put in place and has shown that:_x000a_- clear Advantages for security teams (validate security compliance dashboard, validate alerts on containers, see whether info on vulnerable containers is useful)_x000a_- info can be sent to the SOC_x000a_- performance impact is not negligeable and Redhat recommends the setup of a separate openshift cluster for this_x000a__x000a_-----_x000a_HISTORY OF THE REQUEST_x000a_-----_x000a_In RITM0160885, I asked for a proof-of-concept of Redhat Advanced Cluster Security on one of our Openshift cluster (development). The solution does not interfere with running containers but provides visibility on security misconfigurations on the deployments, vulnerabilities in running containers and detects strange things such as interactive commands in containers which could indicate a compromise of the container. Furthermore, it provides compliance dashboarding._x000a__x000a_I understand from Filip Kryspin (MNP) that:_x000a_- Licenses are not an issue since this is included in the cluster management pack licenses we have bought and hence this feature does not require additional licenses to test/run_x000a_- A HLD will be prepared for the &quot;cluster management &quot;  (ACM) from Redhat and there is potential synergy in deploying Redhat ACS &amp; ACM._x000a__x000a_Atos has let me know they will like to see a demand filed for the further creation and setup of Redhat ACS to monitor all of our Openshift clusters. Hence, I'm requesting a proposal from Atos to design and deploy a combined ACM+ACS solution to cover all of our Openshift clusters."/>
    <x v="0"/>
    <s v="Work in Progress"/>
    <n v="0.8"/>
    <x v="1"/>
  </r>
  <r>
    <s v="B2BP"/>
    <s v="B2BP Contingency of B2B over PENS _x000a_ODS-MNP-112 "/>
    <x v="0"/>
    <s v="Work in Progress"/>
    <n v="0.96030000000000004"/>
    <x v="1"/>
  </r>
  <r>
    <s v="NCSI-CRCO-24"/>
    <s v="Phase 2 of the CRCO Network Infrastructure Transformation project focuses on executing migration and operational handover based on Phase 1 (NBIZ-CRCO, DMND0001469) audit recommendations. This includes upgrading network infrastructure, enhancing security, and ensuring compliance with EUROCONTROL standards._x000a__x000a_This is in the workplan 2024 as NCSI-CRCODC, CRCO DC Integration"/>
    <x v="2"/>
    <s v="Work in Progress"/>
    <n v="0.99"/>
    <x v="1"/>
  </r>
  <r>
    <s v="NLCM-RGNPM-23"/>
    <s v="Request for Riverbed and Gigamon Replacement under Life-Cycle Management"/>
    <x v="1"/>
    <s v="Pending"/>
    <n v="0"/>
    <x v="1"/>
  </r>
  <r>
    <s v="NS-009a"/>
    <s v="NS-009a_x000a_NMGT-EVO-STUDY_x000a_ODS-MNP-244_x000a_Network Evolution Study: CIT003 Integration, Network Audit and  Network Improvement Proposals_x000a_Project SharePoint link: https://coll.eurocontrol.int/sites/ppp/PGM/NS-009a/SitePages/Home.aspx"/>
    <x v="2"/>
    <s v="Work in Progress"/>
    <n v="0.86539999999999995"/>
    <x v="0"/>
  </r>
  <r>
    <s v="NS-009b"/>
    <s v="Network Evolution Study and Recommendations_x000a_​Define the target architecture and implementation proposal to address the wave 1 and 2 topics of iNM _x000a_MNP Transformation plan 2023_x000a_ODS-MNP-245_x000a_Project SharePoint: https://coll.eurocontrol.int/sites/ppp/PGM/NS-009b/SitePages/Home.aspx_x000a_"/>
    <x v="2"/>
    <s v="Work in Progress"/>
    <n v="0.99709999999999999"/>
    <x v="0"/>
  </r>
  <r>
    <s v="NS-010"/>
    <s v="SASE Analysis_x000a_MNP Transformation plan 2023_x000a_ODS-MNP-155_x000a_Project SharePoint: https://coll.eurocontrol.int/sites/ppp/PGM/NS-010/SitePages/Home.aspx"/>
    <x v="0"/>
    <s v="Work in Progress"/>
    <n v="0.996"/>
    <x v="0"/>
  </r>
  <r>
    <s v="NS-011"/>
    <s v="NS-011 : Cloud Ready edge design  _x000a_Part of MNP Transformation plan 2023_x000a_ODS-MNP-247_x000a_Project SharePoint: https://coll.eurocontrol.int/sites/ppp/PGM/NS-011/SitePages/Home.aspx"/>
    <x v="2"/>
    <s v="Work in Progress"/>
    <n v="0.99319999999999997"/>
    <x v="0"/>
  </r>
  <r>
    <s v="NS-018a"/>
    <s v="This project is formerly known as NS-018 (Deployment of building block for edge connectivity) in 2024 transformation plan._x000a_The aim of this project is to deliver the CRE core infrastructure, configure it, and integrate it into the existing network environment. This will provide the foundational building block to support upcoming use cases without specifically incorporating the additional configurations needed for their integration._x000a_Implement the CRE building block required to support the subsequent migration of iNM connectivity necessary for Wave 2 (migration facilitated by DR003), as well as additional use cases for both OPS and AGN at the Haren and Bretigny sites. This is outlined in NS-009b SAB Issue Analysis 074 (option 3) and the NS-011 Architectural Analysis._x000a_"/>
    <x v="0"/>
    <s v="Work in Progress"/>
    <n v="0.51529999999999998"/>
    <x v="0"/>
  </r>
  <r>
    <s v="PLCM-ALCRPL-24"/>
    <s v="Replacement of obsolete storage/backup devices and additional SAN switches ports provision in Luxembourg._x000a_Part of WorkPlan 2024 (PLCM- ALCRPL-24), funded via LCD069 (budget €34,360)"/>
    <x v="1"/>
    <s v="Pending"/>
    <n v="0"/>
    <x v="0"/>
  </r>
  <r>
    <s v="PLCM-STSRPL-24"/>
    <s v="Replacement of  Obsolete Standalone Backup Servers._x000a_Part of WorkPlan 2024 (STSRRP),  to be funded via LCD069 (budget 50 670 EUR)."/>
    <x v="0"/>
    <s v="Work in Progress"/>
    <n v="0.2"/>
    <x v="1"/>
  </r>
  <r>
    <s v="SNOPOC"/>
    <s v="SNOW PoC for MNP managed devices _x000a__x000a_SNOW PoC MNP (SNOPOC) is going to be covered by LCD069."/>
    <x v="0"/>
    <s v="Pending Customer"/>
    <n v="7.0000000000000007E-2"/>
    <x v="0"/>
  </r>
  <r>
    <s v="STOBAR"/>
    <s v="Storage and backup replacement ODS-MNP-186_x000a__x000a_Background:_x000a_  - Capacity issues reported for Petri, Obelix, DD4, DD5_x000a_  - Obsolescence of Petri, Obelix, DD4 and SAN switches_x000a_Environments:_x000a_ - EEC/AGN – IFPU2, Bretigny – Petri, Block and File storage_x000a_ - EEC/AGN/CAPRI – IFPU2, Bretigny – DD5, shared backup_x000a_ -  AGENCY/CINDI - Mercator, Haren, Obelix Block and File storage_x000a_ - AGENCY/CINDI/CAPRI – Mercator, Haren, DD4, DD7 shared backup_x000a_Objectives:_x000a_ - Remove the obsolescence_x000a_ - Provide more capacity to fulfil the needs and remove issues_x000a_"/>
    <x v="0"/>
    <s v="Work in Progress"/>
    <n v="0.99"/>
    <x v="2"/>
  </r>
  <r>
    <m/>
    <m/>
    <x v="3"/>
    <m/>
    <m/>
    <x v="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DR-002 "/>
    <s v="This is the project formerly known as NS-017 (Enterprise hybrid connectivity to cloud) in the 2024 transformation plans._x000a_Deploy ExpressRoute to establish a dedicated and secure connection between EUROCONTROL's on-premises network and Microsoft Azure cloud services. The approved solution from the SAB Issue Analysis 071 presentation was Option 1, which includes setting up two ExpressRoutes: one from Haren and the other from Bretigny to facilitate connectivity to Azure._x000a_The eEAD application, deployed in Azure cloud locations for Wave 1 (new for OPS/OPT, existing for DevTest), can utilize the on-premises network to connect with EAD in Frequentis for synchronization."/>
    <x v="0"/>
    <x v="0"/>
  </r>
  <r>
    <s v="NCSI-ALCN-25"/>
    <s v="ALC Network Redesign and LCM Replacement (NCSI-ALCN-25) ."/>
    <x v="1"/>
    <x v="1"/>
  </r>
  <r>
    <s v="NCSI-BW-24"/>
    <s v="Bandwidth Increase Project (WAN and LAN), ALC, Haren, Bretigny_x000a_part of workplan 2024"/>
    <x v="1"/>
    <x v="1"/>
  </r>
  <r>
    <s v="NCSI-CRE-24"/>
    <s v="Core Routing Evolution / Decommissioning of CTH1/2, HQD1/2, HQD3/4, S6, S7, old-OPS-Campus_x000a__x000a_Modernize core routing by decommissioning legacy systems and integrating advanced networking solutions within the CIT003 topology, enhancing performance, reducing complexity, and ensuring future scalability_x000a__x000a_Included at workplan 2024 as NCSI-CRE-24, €120.000."/>
    <x v="0"/>
    <x v="0"/>
  </r>
  <r>
    <s v="NLCM-BRET-24"/>
    <s v="Revise and improve the Bretigny network topology to ensure it's streamlined, efficient, and free from unnecessary complexities. This will improve network performance, reduce the risk of downtime, and enhance user experience._x000a_part of workplan 2024_x000a_replacement of Bretigny Network (complete network is out of support)"/>
    <x v="1"/>
    <x v="1"/>
  </r>
  <r>
    <s v="NLCM-NEX-24"/>
    <s v="Demand for Cisco Nexus N7k (Network Core and DC Distribution) Replacement under Life-Cycle Management_x000a_part of workplan 2024_x000a_Nexus Switches (Data Center Refresh) "/>
    <x v="1"/>
    <x v="0"/>
  </r>
  <r>
    <s v="ESXRF2"/>
    <s v="ESXRF2 - Obsolete NON-OPS ESXi hosts replacement_x000a__x000a_Part of MNP LCM plan 2024_x000a__x000a_Due to the obsolescence of below hosts (reaching end-of-life, no longer covered by technical support) there is the need to replace them with new hardware._x000a__x000a_There are 29 obsolete NON-OPS hosts to be replaced (their names, model and localization in attached Excel file) in the scope of ESXRF2._x000a__x000a_In addition – most of these obsolete clusters are based on Bull Bullion S2 ESXi servers, which are not compatible with vSphere 8.0. _x000a__x000a_Moreover, there are 7 HP DL380p Gen8 servers (currently running vSphere 6.5), which are not even compatible with vSphere 7.0. These hosts were excluded from the VMU7 project scope and are going to be upgraded to vSphere 7.0 after hardware replacement._x000a__x000a_All the old hosts after replacement are going to be unmounted and decommissioned."/>
    <x v="0"/>
    <x v="0"/>
  </r>
  <r>
    <s v="PLCM-ESXALC-24"/>
    <s v="PLCM-ESXALC-24 is LCM project activity dedicated for obsolete ALC cluster (IANS) replacement._x000a_All 4 ALC servers are still based on very old platform (HPE Gen8) uses  obsolete VMware 6.5 version (new VMware 8.0 is not supported on them)_x000a_The current 4 ESXi servers are going to be replaced with 3 HPE Gen11, increasing the capacity and providing new hardware platform to allow VMware 8.0 upgrade in 2024 (under PLCM-VMU8-24 project activity)_x000a__x000a_part of workplan 2024_x000a_it is a subset of the ALCRPL project_x000a_some hardware needs to be replaced earlier - hence they split the project in two"/>
    <x v="0"/>
    <x v="0"/>
  </r>
  <r>
    <s v="PLCM-NSX4-24"/>
    <s v="NSX-T (network virtualization and security platform) is no longer supported and must be replaced by NSX4. Data migration from current NSX-T to new NSX4 solution is the only possibility available."/>
    <x v="0"/>
    <x v="0"/>
  </r>
  <r>
    <s v="PLCM-VMU8-24"/>
    <s v="PLCM-VMU8-24 (BL.742578.816) is dedicated project for VMware upgrade from the current 6.X/7/X to 8.0 on all ESXi servers on NON-OPS and OPS in 2024 (+Q1 2025)_x000a_There is need to upgrade VMware existing on ESXi hosts in DCs into the newer version 8.0 (the current version of VMware is mostly 7.X but there are still few clusters (DENIM, IANS) working on the older one 6.5)_x000a_The planned project timeline is from 1st of April till the 31-Mar-2025 (2024 Q4 - 2025 Q1) due to the VMware extension support deadline for VMware 7.0 with the end of Q1 2025_x000a__x000a_In workplan 2024 Vmware 8"/>
    <x v="0"/>
    <x v="0"/>
  </r>
  <r>
    <s v="ESXRF3"/>
    <s v="ESXRF3 - Obsolete NM-OPS ESXi hosts replacement_x000a_Due to the obsolescence of below listed 3 NM-OPS clusters below hosts (reaching end-of-life, no longer covered by technical support) there is the need to replace them with new hardware._x000a_In addition – these obsolete clusters are based on Bull Bullion S2 ESXi servers, which are not compatible with vSphere 8.0 (upgrade is processing under VMU8 with current vSphere 7.X extended support deadline on 2nd of October 2025)."/>
    <x v="0"/>
    <x v="0"/>
  </r>
  <r>
    <s v="RHACS"/>
    <s v="ODS-MNP-137 Openshift Advance Cluster Security NM-DEV_x000a__x000a_This demand requests the activation of Redhat Advanced Cluster Security functionality on all on-premise Openshift clusters (including NM-DEV / SIV cluster, NM-OPT, NM-OPS and the on-premise DPLT openshift instances). _x000a__x000a_Redhat ACS is an Openshift addon (an &quot;operator&quot;) which provides a dashboard on the state of security settings on all managed cluster &amp; nodes itself, on the state of the containers running on those clusters and will generate real-time alerts in case anomalies are detected in the containers._x000a__x000a_EUROCONTROL already has licenses covering the usage of ACS. No additional licenses are needed._x000a__x000a_This is a good moment to deploy ACM as well (Advanced Cluster Management). ACM provides a single point for managing multiple Openshift clusters. ACM will ease the administration and shorten waiting times for upgrades. ACS can be deployed without ACM, it's not mandatory but a good idea._x000a__x000a_Initial feedback from Atos: this will require the creation of dedicated clusters for running control traffic (ACS+ACM) and will constitute the biggest chunk of work requested by this demand. This will require additional Openshift licenses to be bought._x000a__x000a_The POC has been put in place and has shown that:_x000a_- clear Advantages for security teams (validate security compliance dashboard, validate alerts on containers, see whether info on vulnerable containers is useful)_x000a_- info can be sent to the SOC_x000a_- performance impact is not negligeable and Redhat recommends the setup of a separate openshift cluster for this_x000a__x000a_-----_x000a_HISTORY OF THE REQUEST_x000a_-----_x000a_In RITM0160885, I asked for a proof-of-concept of Redhat Advanced Cluster Security on one of our Openshift cluster (development). The solution does not interfere with running containers but provides visibility on security misconfigurations on the deployments, vulnerabilities in running containers and detects strange things such as interactive commands in containers which could indicate a compromise of the container. Furthermore, it provides compliance dashboarding._x000a__x000a_I understand from Filip Kryspin (MNP) that:_x000a_- Licenses are not an issue since this is included in the cluster management pack licenses we have bought and hence this feature does not require additional licenses to test/run_x000a_- A HLD will be prepared for the &quot;cluster management &quot;  (ACM) from Redhat and there is potential synergy in deploying Redhat ACS &amp; ACM._x000a__x000a_Atos has let me know they will like to see a demand filed for the further creation and setup of Redhat ACS to monitor all of our Openshift clusters. Hence, I'm requesting a proposal from Atos to design and deploy a combined ACM+ACS solution to cover all of our Openshift clusters."/>
    <x v="0"/>
    <x v="0"/>
  </r>
  <r>
    <s v="B2BP"/>
    <s v="B2BP Contingency of B2B over PENS _x000a_ODS-MNP-112 "/>
    <x v="0"/>
    <x v="0"/>
  </r>
  <r>
    <s v="NCSI-CRCO-24"/>
    <s v="Phase 2 of the CRCO Network Infrastructure Transformation project focuses on executing migration and operational handover based on Phase 1 (NBIZ-CRCO, DMND0001469) audit recommendations. This includes upgrading network infrastructure, enhancing security, and ensuring compliance with EUROCONTROL standards._x000a__x000a_This is in the workplan 2024 as NCSI-CRCODC, CRCO DC Integration"/>
    <x v="2"/>
    <x v="0"/>
  </r>
  <r>
    <s v="NLCM-RGNPM-23"/>
    <s v="Request for Riverbed and Gigamon Replacement under Life-Cycle Management"/>
    <x v="1"/>
    <x v="1"/>
  </r>
  <r>
    <s v="NS-009a"/>
    <s v="NS-009a_x000a_NMGT-EVO-STUDY_x000a_ODS-MNP-244_x000a_Network Evolution Study: CIT003 Integration, Network Audit and  Network Improvement Proposals_x000a_Project SharePoint link: https://coll.eurocontrol.int/sites/ppp/PGM/NS-009a/SitePages/Home.aspx"/>
    <x v="2"/>
    <x v="0"/>
  </r>
  <r>
    <s v="NS-009b"/>
    <s v="Network Evolution Study and Recommendations_x000a_​Define the target architecture and implementation proposal to address the wave 1 and 2 topics of iNM _x000a_MNP Transformation plan 2023_x000a_ODS-MNP-245_x000a_Project SharePoint: https://coll.eurocontrol.int/sites/ppp/PGM/NS-009b/SitePages/Home.aspx_x000a_"/>
    <x v="2"/>
    <x v="0"/>
  </r>
  <r>
    <s v="NS-010"/>
    <s v="SASE Analysis_x000a_MNP Transformation plan 2023_x000a_ODS-MNP-155_x000a_Project SharePoint: https://coll.eurocontrol.int/sites/ppp/PGM/NS-010/SitePages/Home.aspx"/>
    <x v="0"/>
    <x v="0"/>
  </r>
  <r>
    <s v="NS-011"/>
    <s v="NS-011 : Cloud Ready edge design  _x000a_Part of MNP Transformation plan 2023_x000a_ODS-MNP-247_x000a_Project SharePoint: https://coll.eurocontrol.int/sites/ppp/PGM/NS-011/SitePages/Home.aspx"/>
    <x v="2"/>
    <x v="0"/>
  </r>
  <r>
    <s v="NS-018a"/>
    <s v="This project is formerly known as NS-018 (Deployment of building block for edge connectivity) in 2024 transformation plan._x000a_The aim of this project is to deliver the CRE core infrastructure, configure it, and integrate it into the existing network environment. This will provide the foundational building block to support upcoming use cases without specifically incorporating the additional configurations needed for their integration._x000a_Implement the CRE building block required to support the subsequent migration of iNM connectivity necessary for Wave 2 (migration facilitated by DR003), as well as additional use cases for both OPS and AGN at the Haren and Bretigny sites. This is outlined in NS-009b SAB Issue Analysis 074 (option 3) and the NS-011 Architectural Analysis._x000a_"/>
    <x v="0"/>
    <x v="0"/>
  </r>
  <r>
    <s v="PLCM-ALCRPL-24"/>
    <s v="Replacement of obsolete storage/backup devices and additional SAN switches ports provision in Luxembourg._x000a_Part of WorkPlan 2024 (PLCM- ALCRPL-24), funded via LCD069 (budget €34,360)"/>
    <x v="1"/>
    <x v="1"/>
  </r>
  <r>
    <s v="PLCM-STSRPL-24"/>
    <s v="Replacement of  Obsolete Standalone Backup Servers._x000a_Part of WorkPlan 2024 (STSRRP),  to be funded via LCD069 (budget 50 670 EUR)."/>
    <x v="0"/>
    <x v="0"/>
  </r>
  <r>
    <s v="SNOPOC"/>
    <s v="SNOW PoC for MNP managed devices _x000a__x000a_SNOW PoC MNP (SNOPOC) is going to be covered by LCD069."/>
    <x v="0"/>
    <x v="2"/>
  </r>
  <r>
    <s v="STOBAR"/>
    <s v="Storage and backup replacement ODS-MNP-186_x000a__x000a_Background:_x000a_  - Capacity issues reported for Petri, Obelix, DD4, DD5_x000a_  - Obsolescence of Petri, Obelix, DD4 and SAN switches_x000a_Environments:_x000a_ - EEC/AGN – IFPU2, Bretigny – Petri, Block and File storage_x000a_ - EEC/AGN/CAPRI – IFPU2, Bretigny – DD5, shared backup_x000a_ -  AGENCY/CINDI - Mercator, Haren, Obelix Block and File storage_x000a_ - AGENCY/CINDI/CAPRI – Mercator, Haren, DD4, DD7 shared backup_x000a_Objectives:_x000a_ - Remove the obsolescence_x000a_ - Provide more capacity to fulfil the needs and remove issues_x000a_"/>
    <x v="0"/>
    <x v="0"/>
  </r>
  <r>
    <m/>
    <m/>
    <x v="3"/>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3B096D-AF71-4B45-9F5B-DB2ABE83A3C6}" name="PivotTable9"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8:H22" firstHeaderRow="1" firstDataRow="1" firstDataCol="1"/>
  <pivotFields count="8">
    <pivotField dataField="1" showAll="0"/>
    <pivotField showAll="0"/>
    <pivotField axis="axisRow" showAll="0">
      <items count="7">
        <item x="2"/>
        <item x="0"/>
        <item x="1"/>
        <item h="1" x="3"/>
        <item m="1" x="5"/>
        <item h="1" m="1" x="4"/>
        <item t="default"/>
      </items>
    </pivotField>
    <pivotField showAll="0"/>
    <pivotField showAll="0"/>
    <pivotField showAll="0"/>
    <pivotField showAll="0"/>
    <pivotField showAll="0"/>
  </pivotFields>
  <rowFields count="1">
    <field x="2"/>
  </rowFields>
  <rowItems count="4">
    <i>
      <x/>
    </i>
    <i>
      <x v="1"/>
    </i>
    <i>
      <x v="2"/>
    </i>
    <i t="grand">
      <x/>
    </i>
  </rowItems>
  <colItems count="1">
    <i/>
  </colItems>
  <dataFields count="1">
    <dataField name="Count of Project Name" fld="0"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1"/>
          </reference>
        </references>
      </pivotArea>
    </chartFormat>
    <chartFormat chart="0" format="2">
      <pivotArea type="data" outline="0" fieldPosition="0">
        <references count="2">
          <reference field="4294967294" count="1" selected="0">
            <x v="0"/>
          </reference>
          <reference field="2" count="1" selected="0">
            <x v="0"/>
          </reference>
        </references>
      </pivotArea>
    </chartFormat>
    <chartFormat chart="0" format="3">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714AAF-570C-45BE-8EEA-A7A6B8118E08}" name="PivotTable13"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88:J90" firstHeaderRow="1" firstDataRow="2" firstDataCol="1" rowPageCount="1" colPageCount="1"/>
  <pivotFields count="4">
    <pivotField showAll="0"/>
    <pivotField showAll="0"/>
    <pivotField axis="axisPage" multipleItemSelectionAllowed="1" showAll="0">
      <items count="7">
        <item h="1" x="2"/>
        <item x="0"/>
        <item h="1" m="1" x="4"/>
        <item h="1" x="1"/>
        <item h="1" m="1" x="5"/>
        <item h="1" x="3"/>
        <item t="default"/>
      </items>
    </pivotField>
    <pivotField axis="axisCol" dataField="1" showAll="0">
      <items count="6">
        <item x="1"/>
        <item x="2"/>
        <item x="0"/>
        <item h="1" x="3"/>
        <item m="1" x="4"/>
        <item t="default"/>
      </items>
    </pivotField>
  </pivotFields>
  <rowItems count="1">
    <i/>
  </rowItems>
  <colFields count="1">
    <field x="3"/>
  </colFields>
  <colItems count="3">
    <i>
      <x v="1"/>
    </i>
    <i>
      <x v="2"/>
    </i>
    <i t="grand">
      <x/>
    </i>
  </colItems>
  <pageFields count="1">
    <pageField fld="2" hier="-1"/>
  </pageFields>
  <dataFields count="1">
    <dataField name="Count of State" fld="3"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E8D8B43-4EFC-4BFC-83D2-0FEF51C360E6}" name="PivotTable8"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20:D22" firstHeaderRow="1" firstDataRow="2" firstDataCol="1" rowPageCount="1" colPageCount="1"/>
  <pivotFields count="11">
    <pivotField dataField="1" showAll="0"/>
    <pivotField showAll="0"/>
    <pivotField showAll="0"/>
    <pivotField showAll="0"/>
    <pivotField showAll="0"/>
    <pivotField showAll="0"/>
    <pivotField axis="axisCol" showAll="0">
      <items count="5">
        <item m="1" x="3"/>
        <item x="0"/>
        <item x="1"/>
        <item h="1" x="2"/>
        <item t="default"/>
      </items>
    </pivotField>
    <pivotField showAll="0"/>
    <pivotField showAll="0"/>
    <pivotField showAll="0"/>
    <pivotField axis="axisPage" multipleItemSelectionAllowed="1" showAll="0">
      <items count="5">
        <item x="0"/>
        <item x="1"/>
        <item h="1" x="3"/>
        <item x="2"/>
        <item t="default"/>
      </items>
    </pivotField>
  </pivotFields>
  <rowItems count="1">
    <i/>
  </rowItems>
  <colFields count="1">
    <field x="6"/>
  </colFields>
  <colItems count="3">
    <i>
      <x v="1"/>
    </i>
    <i>
      <x v="2"/>
    </i>
    <i t="grand">
      <x/>
    </i>
  </colItems>
  <pageFields count="1">
    <pageField fld="10" hier="-1"/>
  </pageFields>
  <dataFields count="1">
    <dataField name="Count of Project Name"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61702D8-8344-40E4-98E1-2DAAE5C174DA}" name="PivotTable5"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5" firstHeaderRow="1" firstDataRow="2" firstDataCol="1" rowPageCount="1" colPageCount="1"/>
  <pivotFields count="8">
    <pivotField dataField="1" showAll="0"/>
    <pivotField showAll="0"/>
    <pivotField axis="axisPage" showAll="0">
      <items count="7">
        <item x="2"/>
        <item x="0"/>
        <item x="1"/>
        <item x="3"/>
        <item m="1" x="5"/>
        <item m="1" x="4"/>
        <item t="default"/>
      </items>
    </pivotField>
    <pivotField showAll="0"/>
    <pivotField showAll="0"/>
    <pivotField axis="axisCol" showAll="0">
      <items count="8">
        <item h="1" m="1" x="4"/>
        <item h="1" m="1" x="5"/>
        <item h="1" x="3"/>
        <item h="1" m="1" x="6"/>
        <item x="1"/>
        <item x="0"/>
        <item h="1" x="2"/>
        <item t="default"/>
      </items>
    </pivotField>
    <pivotField showAll="0"/>
    <pivotField showAll="0"/>
  </pivotFields>
  <rowItems count="1">
    <i/>
  </rowItems>
  <colFields count="1">
    <field x="5"/>
  </colFields>
  <colItems count="3">
    <i>
      <x v="4"/>
    </i>
    <i>
      <x v="5"/>
    </i>
    <i t="grand">
      <x/>
    </i>
  </colItems>
  <pageFields count="1">
    <pageField fld="2" hier="-1"/>
  </pageFields>
  <dataFields count="1">
    <dataField name="Count of Project Name" fld="0" subtotal="count" baseField="0" baseItem="0"/>
  </dataFields>
  <chartFormats count="9">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1">
          <reference field="5" count="1" selected="0">
            <x v="2"/>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 chart="0" format="4" series="1">
      <pivotArea type="data" outline="0" fieldPosition="0">
        <references count="2">
          <reference field="4294967294" count="1" selected="0">
            <x v="0"/>
          </reference>
          <reference field="5" count="1" selected="0">
            <x v="1"/>
          </reference>
        </references>
      </pivotArea>
    </chartFormat>
    <chartFormat chart="0" format="5" series="1">
      <pivotArea type="data" outline="0" fieldPosition="0">
        <references count="2">
          <reference field="4294967294" count="1" selected="0">
            <x v="0"/>
          </reference>
          <reference field="5"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5" count="1" selected="0">
            <x v="5"/>
          </reference>
        </references>
      </pivotArea>
    </chartFormat>
    <chartFormat chart="0" format="8"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52B8D7E-5B87-4BBE-8DD3-7195022F79DD}" name="PivotTable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54:C56" firstHeaderRow="1" firstDataRow="2" firstDataCol="1" rowPageCount="1" colPageCount="1"/>
  <pivotFields count="4">
    <pivotField showAll="0"/>
    <pivotField showAll="0"/>
    <pivotField axis="axisPage" multipleItemSelectionAllowed="1" showAll="0">
      <items count="7">
        <item x="2"/>
        <item h="1" x="0"/>
        <item h="1" m="1" x="4"/>
        <item h="1" x="1"/>
        <item h="1" m="1" x="5"/>
        <item h="1" x="3"/>
        <item t="default"/>
      </items>
    </pivotField>
    <pivotField axis="axisCol" dataField="1" showAll="0">
      <items count="6">
        <item x="1"/>
        <item x="2"/>
        <item x="0"/>
        <item h="1" x="3"/>
        <item m="1" x="4"/>
        <item t="default"/>
      </items>
    </pivotField>
  </pivotFields>
  <rowItems count="1">
    <i/>
  </rowItems>
  <colFields count="1">
    <field x="3"/>
  </colFields>
  <colItems count="2">
    <i>
      <x v="2"/>
    </i>
    <i t="grand">
      <x/>
    </i>
  </colItems>
  <pageFields count="1">
    <pageField fld="2" hier="-1"/>
  </pageFields>
  <dataFields count="1">
    <dataField name="Count of State" fld="3"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09A2AEC-B090-4764-97DC-CAC2C403C2A9}" name="PivotTable4"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71:D73" firstHeaderRow="1" firstDataRow="2" firstDataCol="1" rowPageCount="1" colPageCount="1"/>
  <pivotFields count="6">
    <pivotField showAll="0"/>
    <pivotField showAll="0"/>
    <pivotField axis="axisPage" multipleItemSelectionAllowed="1" showAll="0">
      <items count="7">
        <item h="1" x="2"/>
        <item x="0"/>
        <item h="1" m="1" x="4"/>
        <item h="1" x="1"/>
        <item h="1" m="1" x="5"/>
        <item h="1" x="3"/>
        <item t="default"/>
      </items>
    </pivotField>
    <pivotField showAll="0"/>
    <pivotField showAll="0"/>
    <pivotField axis="axisCol" dataField="1" showAll="0">
      <items count="8">
        <item h="1" m="1" x="4"/>
        <item h="1" m="1" x="6"/>
        <item h="1" m="1" x="5"/>
        <item h="1" x="3"/>
        <item x="1"/>
        <item x="0"/>
        <item h="1" x="2"/>
        <item t="default"/>
      </items>
    </pivotField>
  </pivotFields>
  <rowItems count="1">
    <i/>
  </rowItems>
  <colFields count="1">
    <field x="5"/>
  </colFields>
  <colItems count="3">
    <i>
      <x v="4"/>
    </i>
    <i>
      <x v="5"/>
    </i>
    <i t="grand">
      <x/>
    </i>
  </colItems>
  <pageFields count="1">
    <pageField fld="2" hier="-1"/>
  </pageFields>
  <dataFields count="1">
    <dataField name="Count of Status" fld="5" subtotal="count" baseField="0" baseItem="0"/>
  </dataFields>
  <chartFormats count="6">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5" count="1" selected="0">
            <x v="1"/>
          </reference>
        </references>
      </pivotArea>
    </chartFormat>
    <chartFormat chart="0" format="8" series="1">
      <pivotArea type="data" outline="0" fieldPosition="0">
        <references count="2">
          <reference field="4294967294" count="1" selected="0">
            <x v="0"/>
          </reference>
          <reference field="5" count="1" selected="0">
            <x v="2"/>
          </reference>
        </references>
      </pivotArea>
    </chartFormat>
    <chartFormat chart="0" format="9" series="1">
      <pivotArea type="data" outline="0" fieldPosition="0">
        <references count="2">
          <reference field="4294967294" count="1" selected="0">
            <x v="0"/>
          </reference>
          <reference field="5" count="1" selected="0">
            <x v="0"/>
          </reference>
        </references>
      </pivotArea>
    </chartFormat>
    <chartFormat chart="0" format="10">
      <pivotArea type="data" outline="0" fieldPosition="0">
        <references count="2">
          <reference field="4294967294" count="1" selected="0">
            <x v="0"/>
          </reference>
          <reference field="5" count="1" selected="0">
            <x v="0"/>
          </reference>
        </references>
      </pivotArea>
    </chartFormat>
    <chartFormat chart="0" format="11"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DEBB71-C077-41A2-A5B3-184C705065B1}" name="PivotTable3"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54:J56" firstHeaderRow="1" firstDataRow="2" firstDataCol="1" rowPageCount="1" colPageCount="1"/>
  <pivotFields count="6">
    <pivotField showAll="0"/>
    <pivotField showAll="0"/>
    <pivotField axis="axisPage" multipleItemSelectionAllowed="1" showAll="0">
      <items count="7">
        <item h="1" x="2"/>
        <item h="1" x="0"/>
        <item h="1" m="1" x="4"/>
        <item x="1"/>
        <item h="1" m="1" x="5"/>
        <item h="1" x="3"/>
        <item t="default"/>
      </items>
    </pivotField>
    <pivotField showAll="0"/>
    <pivotField showAll="0"/>
    <pivotField axis="axisCol" dataField="1" showAll="0">
      <items count="8">
        <item h="1" m="1" x="4"/>
        <item h="1" m="1" x="6"/>
        <item h="1" m="1" x="5"/>
        <item h="1" x="3"/>
        <item x="1"/>
        <item x="0"/>
        <item h="1" x="2"/>
        <item t="default"/>
      </items>
    </pivotField>
  </pivotFields>
  <rowItems count="1">
    <i/>
  </rowItems>
  <colFields count="1">
    <field x="5"/>
  </colFields>
  <colItems count="3">
    <i>
      <x v="4"/>
    </i>
    <i>
      <x v="5"/>
    </i>
    <i t="grand">
      <x/>
    </i>
  </colItems>
  <pageFields count="1">
    <pageField fld="2" hier="-1"/>
  </pageFields>
  <dataFields count="1">
    <dataField name="Count of Status" fld="5" subtotal="count" baseField="0" baseItem="0"/>
  </dataFields>
  <chartFormats count="7">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 chart="0" format="4" series="1">
      <pivotArea type="data" outline="0" fieldPosition="0">
        <references count="2">
          <reference field="4294967294" count="1" selected="0">
            <x v="0"/>
          </reference>
          <reference field="5" count="1" selected="0">
            <x v="2"/>
          </reference>
        </references>
      </pivotArea>
    </chartFormat>
    <chartFormat chart="0" format="5">
      <pivotArea type="data" outline="0" fieldPosition="0">
        <references count="2">
          <reference field="4294967294" count="1" selected="0">
            <x v="0"/>
          </reference>
          <reference field="5" count="1" selected="0">
            <x v="2"/>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5" count="1" selected="0">
            <x v="4"/>
          </reference>
        </references>
      </pivotArea>
    </chartFormat>
    <chartFormat chart="0" format="8"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E89A31B-1A00-41EE-8DCC-9DD8EACA3260}" name="PivotTable6"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71:J73" firstHeaderRow="1" firstDataRow="2" firstDataCol="1" rowPageCount="1" colPageCount="1"/>
  <pivotFields count="4">
    <pivotField showAll="0"/>
    <pivotField showAll="0"/>
    <pivotField axis="axisPage" multipleItemSelectionAllowed="1" showAll="0">
      <items count="7">
        <item h="1" x="2"/>
        <item h="1" x="0"/>
        <item h="1" m="1" x="4"/>
        <item x="1"/>
        <item h="1" m="1" x="5"/>
        <item h="1" x="3"/>
        <item t="default"/>
      </items>
    </pivotField>
    <pivotField axis="axisCol" dataField="1" showAll="0">
      <items count="6">
        <item x="1"/>
        <item x="2"/>
        <item x="0"/>
        <item h="1" x="3"/>
        <item m="1" x="4"/>
        <item t="default"/>
      </items>
    </pivotField>
  </pivotFields>
  <rowItems count="1">
    <i/>
  </rowItems>
  <colFields count="1">
    <field x="3"/>
  </colFields>
  <colItems count="3">
    <i>
      <x/>
    </i>
    <i>
      <x v="2"/>
    </i>
    <i t="grand">
      <x/>
    </i>
  </colItems>
  <pageFields count="1">
    <pageField fld="2" hier="-1"/>
  </pageFields>
  <dataFields count="1">
    <dataField name="Count of State" fld="3"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2">
          <reference field="4294967294" count="1" selected="0">
            <x v="0"/>
          </reference>
          <reference field="3" count="1" selected="0">
            <x v="4"/>
          </reference>
        </references>
      </pivotArea>
    </chartFormat>
    <chartFormat chart="0" format="4"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C08E26F-59D3-4C20-98E4-267272BD2993}" name="PivotTable1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37:L39" firstHeaderRow="1" firstDataRow="2" firstDataCol="1" rowPageCount="1" colPageCount="1"/>
  <pivotFields count="7">
    <pivotField dataField="1" showAll="0"/>
    <pivotField showAll="0"/>
    <pivotField showAll="0"/>
    <pivotField showAll="0"/>
    <pivotField axis="axisCol" showAll="0">
      <items count="6">
        <item x="0"/>
        <item x="1"/>
        <item x="2"/>
        <item h="1" x="3"/>
        <item h="1" m="1" x="4"/>
        <item t="default"/>
      </items>
    </pivotField>
    <pivotField showAll="0"/>
    <pivotField axis="axisPage" multipleItemSelectionAllowed="1" showAll="0">
      <items count="3">
        <item x="0"/>
        <item h="1" x="1"/>
        <item t="default"/>
      </items>
    </pivotField>
  </pivotFields>
  <rowItems count="1">
    <i/>
  </rowItems>
  <colFields count="1">
    <field x="4"/>
  </colFields>
  <colItems count="4">
    <i>
      <x/>
    </i>
    <i>
      <x v="1"/>
    </i>
    <i>
      <x v="2"/>
    </i>
    <i t="grand">
      <x/>
    </i>
  </colItems>
  <pageFields count="1">
    <pageField fld="6" hier="-1"/>
  </pageFields>
  <dataFields count="1">
    <dataField name="Count of Project Name"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A39B268-71A3-4E9C-8818-88D580EBF1FB}" name="PivotTable12"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88:D90" firstHeaderRow="1" firstDataRow="2" firstDataCol="1" rowPageCount="1" colPageCount="1"/>
  <pivotFields count="6">
    <pivotField showAll="0"/>
    <pivotField showAll="0"/>
    <pivotField axis="axisPage" multipleItemSelectionAllowed="1" showAll="0">
      <items count="7">
        <item x="2"/>
        <item h="1" x="0"/>
        <item h="1" m="1" x="4"/>
        <item h="1" x="1"/>
        <item h="1" m="1" x="5"/>
        <item h="1" x="3"/>
        <item t="default"/>
      </items>
    </pivotField>
    <pivotField dataField="1" showAll="0"/>
    <pivotField showAll="0"/>
    <pivotField axis="axisCol" showAll="0">
      <items count="8">
        <item h="1" m="1" x="4"/>
        <item h="1" m="1" x="6"/>
        <item h="1" m="1" x="5"/>
        <item h="1" x="3"/>
        <item x="1"/>
        <item x="0"/>
        <item h="1" x="2"/>
        <item t="default"/>
      </items>
    </pivotField>
  </pivotFields>
  <rowItems count="1">
    <i/>
  </rowItems>
  <colFields count="1">
    <field x="5"/>
  </colFields>
  <colItems count="3">
    <i>
      <x v="4"/>
    </i>
    <i>
      <x v="5"/>
    </i>
    <i t="grand">
      <x/>
    </i>
  </colItems>
  <pageFields count="1">
    <pageField fld="2" hier="-1"/>
  </pageFields>
  <dataFields count="1">
    <dataField name="Count of State" fld="3" subtotal="count"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2">
          <reference field="4294967294" count="1" selected="0">
            <x v="0"/>
          </reference>
          <reference field="5" count="1" selected="0">
            <x v="0"/>
          </reference>
        </references>
      </pivotArea>
    </chartFormat>
    <chartFormat chart="0" format="5" series="1">
      <pivotArea type="data" outline="0" fieldPosition="0">
        <references count="2">
          <reference field="4294967294" count="1" selected="0">
            <x v="0"/>
          </reference>
          <reference field="5" count="1" selected="0">
            <x v="4"/>
          </reference>
        </references>
      </pivotArea>
    </chartFormat>
    <chartFormat chart="0" format="6"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3E9C92B-64D9-4F5B-84FC-CD0E2255D09E}" name="PivotTable7"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1:H7" firstHeaderRow="1" firstDataRow="1" firstDataCol="1"/>
  <pivotFields count="6">
    <pivotField dataField="1" showAll="0"/>
    <pivotField showAll="0"/>
    <pivotField showAll="0"/>
    <pivotField showAll="0"/>
    <pivotField showAll="0"/>
    <pivotField axis="axisRow" showAll="0">
      <items count="8">
        <item x="0"/>
        <item x="4"/>
        <item x="1"/>
        <item x="2"/>
        <item h="1" x="6"/>
        <item x="5"/>
        <item h="1" x="3"/>
        <item t="default"/>
      </items>
    </pivotField>
  </pivotFields>
  <rowFields count="1">
    <field x="5"/>
  </rowFields>
  <rowItems count="6">
    <i>
      <x/>
    </i>
    <i>
      <x v="1"/>
    </i>
    <i>
      <x v="2"/>
    </i>
    <i>
      <x v="3"/>
    </i>
    <i>
      <x v="5"/>
    </i>
    <i t="grand">
      <x/>
    </i>
  </rowItems>
  <colItems count="1">
    <i/>
  </colItems>
  <dataFields count="1">
    <dataField name="Count of Project Name"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583DD23-04F0-4480-A724-3FE404C0B2DF}" name="PivotTable10"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7:F39" firstHeaderRow="1" firstDataRow="2" firstDataCol="1" rowPageCount="1" colPageCount="1"/>
  <pivotFields count="7">
    <pivotField dataField="1" showAll="0"/>
    <pivotField showAll="0"/>
    <pivotField showAll="0"/>
    <pivotField axis="axisCol" showAll="0">
      <items count="6">
        <item x="0"/>
        <item x="2"/>
        <item x="3"/>
        <item h="1" x="4"/>
        <item x="1"/>
        <item t="default"/>
      </items>
    </pivotField>
    <pivotField showAll="0"/>
    <pivotField showAll="0"/>
    <pivotField axis="axisPage" multipleItemSelectionAllowed="1" showAll="0">
      <items count="3">
        <item x="0"/>
        <item h="1" x="1"/>
        <item t="default"/>
      </items>
    </pivotField>
  </pivotFields>
  <rowItems count="1">
    <i/>
  </rowItems>
  <colFields count="1">
    <field x="3"/>
  </colFields>
  <colItems count="5">
    <i>
      <x/>
    </i>
    <i>
      <x v="1"/>
    </i>
    <i>
      <x v="2"/>
    </i>
    <i>
      <x v="4"/>
    </i>
    <i t="grand">
      <x/>
    </i>
  </colItems>
  <pageFields count="1">
    <pageField fld="6" hier="-1"/>
  </pageFields>
  <dataFields count="1">
    <dataField name="Count of Project Name" fld="0" subtotal="count" baseField="0" baseItem="0"/>
  </dataFields>
  <chartFormats count="5">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6C4EBBD-A259-4058-9EF3-0CD655DD972F}" name="Milestones" displayName="Milestones" ref="A1:K143" totalsRowShown="0" headerRowDxfId="98" dataDxfId="96" headerRowBorderDxfId="97">
  <autoFilter ref="A1:K143" xr:uid="{C6C4EBBD-A259-4058-9EF3-0CD655DD972F}"/>
  <tableColumns count="11">
    <tableColumn id="10" xr3:uid="{EB912A4C-6573-4E50-96B5-8382A1D409B2}" name="Project Name" dataDxfId="95"/>
    <tableColumn id="2" xr3:uid="{5AF18DFA-1BA6-41EE-92FB-82373276DBDA}" name="Short Description" dataDxfId="94"/>
    <tableColumn id="3" xr3:uid="{06812405-AD4B-4285-80D2-E4370A55B39F}" name="Assigned to" dataDxfId="93"/>
    <tableColumn id="4" xr3:uid="{59E0C3DB-86A6-4BD6-9496-D91084C64F39}" name="Planned end date" dataDxfId="92"/>
    <tableColumn id="5" xr3:uid="{F8AFB795-0D93-4CC4-99B5-E6055D476B05}" name="Actual end date" dataDxfId="91"/>
    <tableColumn id="6" xr3:uid="{D829B6A6-512B-484E-8EE2-820E0EDF31A2}" name="State" dataDxfId="90"/>
    <tableColumn id="7" xr3:uid="{39CF0825-5D2B-49E0-AF94-14B72F8ADED6}" name="Percent complete" dataDxfId="89"/>
    <tableColumn id="1" xr3:uid="{0F1F878E-3894-484A-BAAC-A66186C0715B}" name="Number"/>
    <tableColumn id="9" xr3:uid="{EEB81EE0-4ED3-42D6-89F4-FB6B749A625E}" name="Breached" dataDxfId="88">
      <calculatedColumnFormula>IF(Milestones[[#This Row],[Percent complete]]=100%,"",IF(TODAY()&gt;Milestones[[#This Row],[Planned end date]],_xlfn.TEXTJOIN(" by ",TRUE,"Breached",TODAY()-D2)&amp;" days",""))</calculatedColumnFormula>
    </tableColumn>
    <tableColumn id="13" xr3:uid="{0A4F1FA4-085C-4B7D-999C-A82454282661}" name="Completed in the last 3 weeks" dataDxfId="87">
      <calculatedColumnFormula>IF(AND(E2&lt;&gt;"",E2&gt;=TODAY()-21, E2&lt;=TODAY()),TRUE,"")</calculatedColumnFormula>
    </tableColumn>
    <tableColumn id="14" xr3:uid="{DCA18FA2-1EAB-4C9A-940C-486E498635E1}" name="To be completed" dataDxfId="86">
      <calculatedColumnFormula>IF(Milestones[[#This Row],[State]]="Closed Complete","",IF(YEAR(D2)&amp;"-"&amp;TEXT(WEEKNUM(D2,2),"00")&lt;YEAR(TODAY())&amp;"-"&amp;TEXT(WEEKNUM(TODAY(),2),"00"),"Breached","To be completed"))</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0CECADF-F4CB-4E7A-A1DB-0F12046A14E2}" name="Risk" displayName="Risk" ref="A1:L6" totalsRowShown="0" headerRowDxfId="82" dataDxfId="80" headerRowBorderDxfId="81">
  <autoFilter ref="A1:L6" xr:uid="{F0CECADF-F4CB-4E7A-A1DB-0F12046A14E2}"/>
  <tableColumns count="12">
    <tableColumn id="12" xr3:uid="{2AA614EA-7173-45B2-B099-2721C8AE1A0F}" name="Project Name" dataDxfId="79"/>
    <tableColumn id="1" xr3:uid="{1EECB26E-EA7A-4616-912E-24428BA0DD90}" name="Number" dataDxfId="78"/>
    <tableColumn id="3" xr3:uid="{3A7BC1B3-769E-4793-8ED4-8370CC1189D2}" name="Short description" dataDxfId="77"/>
    <tableColumn id="4" xr3:uid="{BC777DEB-6340-45BF-95BC-E518357F36FF}" name="Impact" dataDxfId="76"/>
    <tableColumn id="5" xr3:uid="{44C0382B-1B67-4366-9449-DB7046A9DDA6}" name="Probability" dataDxfId="75"/>
    <tableColumn id="6" xr3:uid="{F0D9D5A6-131D-4197-A89F-6FCAE9BC4C74}" name="Risk status" dataDxfId="74"/>
    <tableColumn id="2" xr3:uid="{B2479540-3E70-4BED-A7D4-7B8D7EEB0A0F}" name="Risk value" dataDxfId="73"/>
    <tableColumn id="13" xr3:uid="{5812E7E6-95D7-4E27-BB94-45782FA647DF}" name="Risk owner" dataDxfId="72"/>
    <tableColumn id="9" xr3:uid="{C328055C-81C7-4B69-A473-219EF91A0351}" name="Assigned to" dataDxfId="71"/>
    <tableColumn id="8" xr3:uid="{1A9E4FA7-F2CE-460C-A5B5-BA36D77CF0CD}" name="Mitigation plan" dataDxfId="70"/>
    <tableColumn id="10" xr3:uid="{15A7AAC0-8BC8-4E4B-A8AA-215C99DA64B0}" name="State" dataDxfId="69"/>
    <tableColumn id="11" xr3:uid="{7672926A-1FF0-40B8-A12B-8D867ACAAA80}" name="Due date" dataDxfId="68"/>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13E4AF-F7D0-422F-93B9-62A0EA5F99BC}" name="Issue" displayName="Issue" ref="A1:J25" totalsRowShown="0" headerRowDxfId="62" dataDxfId="60" headerRowBorderDxfId="61">
  <autoFilter ref="A1:J25" xr:uid="{AB13E4AF-F7D0-422F-93B9-62A0EA5F99BC}"/>
  <tableColumns count="10">
    <tableColumn id="12" xr3:uid="{DFFFF8C9-0C25-413F-8363-8BB1B3C90806}" name="Project Name" dataDxfId="59"/>
    <tableColumn id="1" xr3:uid="{ACCFA083-2302-4A6D-9A1E-3F666141B5FD}" name="Number" dataDxfId="58"/>
    <tableColumn id="3" xr3:uid="{323380F0-61AE-464F-BAC5-06DA7676284A}" name="Short Description" dataDxfId="57"/>
    <tableColumn id="4" xr3:uid="{81E69146-510A-4B00-BF5D-8A0ADBF0C64B}" name="Impact" dataDxfId="56"/>
    <tableColumn id="5" xr3:uid="{3DF304E2-644B-4D52-AD69-6A2BFDA7059E}" name="Priority" dataDxfId="55"/>
    <tableColumn id="6" xr3:uid="{83907F2E-6B00-4B9E-A0E9-C07F483FE416}" name="Due date" dataDxfId="54"/>
    <tableColumn id="9" xr3:uid="{C84D6D40-AF8D-4501-8CBE-E255ACECBB16}" name="State" dataDxfId="53"/>
    <tableColumn id="11" xr3:uid="{70133EAD-189C-45B7-B8A1-77BDB7A32AF2}" name="Opened by" dataDxfId="52"/>
    <tableColumn id="7" xr3:uid="{52ECA090-CA36-4CCD-A2D8-7DB3AE6C8194}" name="Assigned to" dataDxfId="51"/>
    <tableColumn id="8" xr3:uid="{64E2126B-A5D8-472A-8192-300F7091AEC2}" name="Contingency Plan" dataDxfId="5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72BCC-5879-429E-A9CC-46DCC35B27B5}" name="PCR" displayName="PCR" ref="A1:H13" totalsRowShown="0" headerRowDxfId="46" dataDxfId="44" headerRowBorderDxfId="45">
  <autoFilter ref="A1:H13" xr:uid="{64472BCC-5879-429E-A9CC-46DCC35B27B5}"/>
  <tableColumns count="8">
    <tableColumn id="2" xr3:uid="{75A2DC11-24DB-49C6-97E7-6EE6C691A55C}" name="Number" dataDxfId="43"/>
    <tableColumn id="1" xr3:uid="{B244C3D4-F1A3-4EEB-BDE3-65808F785F91}" name="Title" dataDxfId="42"/>
    <tableColumn id="5" xr3:uid="{31BF0194-4E66-468C-A370-3910651D95B7}" name="Impact" dataDxfId="41"/>
    <tableColumn id="3" xr3:uid="{DEDEA08E-ED1E-4CD8-8C1C-177D9519959D}" name="Priority" dataDxfId="40"/>
    <tableColumn id="4" xr3:uid="{BB417473-3333-4F2C-8EDB-EB43746716E0}" name="Assigned to" dataDxfId="39"/>
    <tableColumn id="7" xr3:uid="{24740F00-CF92-4160-A665-454D9953853F}" name="Due date" dataDxfId="38"/>
    <tableColumn id="8" xr3:uid="{EFD6BF17-6BC0-407B-B9EB-37F89F3549B0}" name="State" dataDxfId="37"/>
    <tableColumn id="6" xr3:uid="{75D2DDAD-1306-4C52-B30D-029F2A5E783F}" name="Registered by" dataDxfId="3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71C7138-FE8A-4861-84AF-A4F973382D23}" name="Projects" displayName="Projects" ref="A1:O25" totalsRowShown="0" headerRowDxfId="35" dataDxfId="34">
  <autoFilter ref="A1:O25" xr:uid="{E71C7138-FE8A-4861-84AF-A4F973382D23}"/>
  <tableColumns count="15">
    <tableColumn id="2" xr3:uid="{833AFE38-7CAF-4021-AC43-0CA93215609C}" name="Project Name" dataDxfId="33"/>
    <tableColumn id="1" xr3:uid="{D1D55B56-FD74-44EC-B94B-A819EE03AEDD}" name="Description" dataDxfId="32"/>
    <tableColumn id="8" xr3:uid="{CADF17D0-914E-40F3-A73B-287C6FD8AA9C}" name="Phase" dataDxfId="31"/>
    <tableColumn id="16" xr3:uid="{4CFE685A-17E4-4043-98DB-B303FD5BC598}" name="State" dataDxfId="30"/>
    <tableColumn id="3" xr3:uid="{4ABB7B62-C638-4D88-813D-C44FBD2DF1A2}" name="Percent complete" dataDxfId="29" dataCellStyle="Percent"/>
    <tableColumn id="10" xr3:uid="{742CD4FF-D9C5-433C-8D24-9B70F560AFFF}" name="Status" dataDxfId="28" dataCellStyle="Percent"/>
    <tableColumn id="5" xr3:uid="{990EE3AA-0211-4ECD-9063-65931304312B}" name="Priority" dataDxfId="27"/>
    <tableColumn id="6" xr3:uid="{1398D92A-7F5D-4765-9F74-B33C82378A70}" name="Project manager" dataDxfId="26"/>
    <tableColumn id="7" xr3:uid="{3845B6D7-4C77-4580-9294-F110BCBAB8F0}" name="Approved start date" dataDxfId="25"/>
    <tableColumn id="4" xr3:uid="{8057B8D6-FCDA-4AC2-BFEA-C5A09510AE98}" name="Planned start date" dataDxfId="24"/>
    <tableColumn id="9" xr3:uid="{7203B12D-B683-4ACD-BA8D-4ECF29D3A29A}" name="Actual start date" dataDxfId="23"/>
    <tableColumn id="11" xr3:uid="{E37332FD-31FB-4FA5-8288-9C8DEAB9E29C}" name="Approved end date" dataDxfId="22"/>
    <tableColumn id="12" xr3:uid="{78B7CE5F-7285-4EF7-840C-5FC29BFBDECC}" name="Planned end date" dataDxfId="21"/>
    <tableColumn id="13" xr3:uid="{C7757210-9D96-4E91-9E9C-5DCB03178F11}" name="Actual end date" dataDxfId="20"/>
    <tableColumn id="14" xr3:uid="{58B7A929-03CD-4D8D-ADC1-E21E9560A141}" name="Number" dataDxfId="19"/>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188E67-6289-45CE-AE06-B5CFF8026FE8}" name="RAG" displayName="RAG" ref="A1:Q25" totalsRowShown="0" headerRowDxfId="18" dataDxfId="17">
  <autoFilter ref="A1:Q25" xr:uid="{C8188E67-6289-45CE-AE06-B5CFF8026FE8}"/>
  <tableColumns count="17">
    <tableColumn id="10" xr3:uid="{B256CC6D-3198-4CD2-A761-380C855B0308}" name="Project" dataDxfId="16"/>
    <tableColumn id="11" xr3:uid="{D8F684C0-11CB-4781-9064-E00BA7279600}" name="Number" dataDxfId="15"/>
    <tableColumn id="2" xr3:uid="{D17037BF-A43F-43AC-A8C0-30252EE4BEF9}" name="Phase" dataDxfId="14"/>
    <tableColumn id="3" xr3:uid="{F554077B-5869-4D97-85F5-BB0420053962}" name="State" dataDxfId="13"/>
    <tableColumn id="4" xr3:uid="{359C82F3-CB0A-4B70-BCC3-EBDC7D9C1AD7}" name="Status Date" dataDxfId="12"/>
    <tableColumn id="5" xr3:uid="{B9F7218B-8074-4F92-A2DD-4C1ADDDC7653}" name="Overall health" dataDxfId="11"/>
    <tableColumn id="6" xr3:uid="{757AD465-F02F-47A2-85D3-2B70A97FA6EF}" name="Cost" dataDxfId="10"/>
    <tableColumn id="7" xr3:uid="{C227701A-78E3-4568-AC18-4B0DECFB797C}" name="Scope" dataDxfId="9"/>
    <tableColumn id="8" xr3:uid="{462EEB1C-B913-4CB4-8D3A-F9E75057E573}" name="Schedule" dataDxfId="8"/>
    <tableColumn id="16" xr3:uid="{9A53E235-6572-4FE4-AB1B-9C15C9424239}" name="Executive Summary" dataDxfId="7"/>
    <tableColumn id="9" xr3:uid="{1F32EAF2-D6F4-4366-B6CB-7A4A4DDEB4CB}" name="Resources" dataDxfId="6"/>
    <tableColumn id="12" xr3:uid="{CBB3CBC6-B402-480A-8759-D79E8A47CF35}" name="Updated" dataDxfId="5"/>
    <tableColumn id="13" xr3:uid="{795E314F-FF43-492E-AE11-17F6166A6756}" name="Comments" dataDxfId="4"/>
    <tableColumn id="14" xr3:uid="{F73C02C4-75E7-45A8-A10B-C3A388925D2A}" name="Key Activities planned" dataDxfId="3"/>
    <tableColumn id="15" xr3:uid="{1685CCA2-FC4C-41B9-AC26-162C5A3CFA1B}" name="Last Week's Achievements" dataDxfId="2"/>
    <tableColumn id="1" xr3:uid="{BE608502-319C-41F8-B32B-B44D2C017222}" name="Source.Name" dataDxfId="1"/>
    <tableColumn id="17" xr3:uid="{A959B15A-BE62-4B98-96D1-CCC81EC41280}" name="Number_1" dataDxfId="0"/>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6D4D7-0F42-448E-B921-759D19CE1B76}">
  <sheetPr codeName="Sheet9">
    <tabColor rgb="FFFFFF00"/>
  </sheetPr>
  <dimension ref="A1:K3"/>
  <sheetViews>
    <sheetView workbookViewId="0">
      <selection activeCell="F9" sqref="F9"/>
    </sheetView>
  </sheetViews>
  <sheetFormatPr defaultRowHeight="14.4" x14ac:dyDescent="0.3"/>
  <cols>
    <col min="1" max="1" width="8.88671875" style="14" customWidth="1"/>
    <col min="7" max="11" width="8.88671875" style="44"/>
  </cols>
  <sheetData>
    <row r="1" spans="1:1" x14ac:dyDescent="0.3">
      <c r="A1" s="14" t="s">
        <v>169</v>
      </c>
    </row>
    <row r="3" spans="1:1" x14ac:dyDescent="0.3">
      <c r="A3" s="14" t="s">
        <v>63</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moveHTMLtags">
                <anchor moveWithCells="1" sizeWithCells="1">
                  <from>
                    <xdr:col>0</xdr:col>
                    <xdr:colOff>0</xdr:colOff>
                    <xdr:row>5</xdr:row>
                    <xdr:rowOff>7620</xdr:rowOff>
                  </from>
                  <to>
                    <xdr:col>1</xdr:col>
                    <xdr:colOff>601980</xdr:colOff>
                    <xdr:row>6</xdr:row>
                    <xdr:rowOff>60960</xdr:rowOff>
                  </to>
                </anchor>
              </controlPr>
            </control>
          </mc:Choice>
        </mc:AlternateContent>
        <mc:AlternateContent xmlns:mc="http://schemas.openxmlformats.org/markup-compatibility/2006">
          <mc:Choice Requires="x14">
            <control shapeId="10243" r:id="rId5" name="Button 3">
              <controlPr defaultSize="0" print="0" autoFill="0" autoPict="0" macro="[0]!hideRAGprojects">
                <anchor moveWithCells="1" sizeWithCells="1">
                  <from>
                    <xdr:col>0</xdr:col>
                    <xdr:colOff>0</xdr:colOff>
                    <xdr:row>12</xdr:row>
                    <xdr:rowOff>114300</xdr:rowOff>
                  </from>
                  <to>
                    <xdr:col>3</xdr:col>
                    <xdr:colOff>228600</xdr:colOff>
                    <xdr:row>13</xdr:row>
                    <xdr:rowOff>160020</xdr:rowOff>
                  </to>
                </anchor>
              </controlPr>
            </control>
          </mc:Choice>
        </mc:AlternateContent>
        <mc:AlternateContent xmlns:mc="http://schemas.openxmlformats.org/markup-compatibility/2006">
          <mc:Choice Requires="x14">
            <control shapeId="10244" r:id="rId6" name="Button 4">
              <controlPr defaultSize="0" print="0" autoFill="0" autoPict="0" macro="[0]!unhideRAGprojects">
                <anchor moveWithCells="1" sizeWithCells="1">
                  <from>
                    <xdr:col>0</xdr:col>
                    <xdr:colOff>0</xdr:colOff>
                    <xdr:row>3</xdr:row>
                    <xdr:rowOff>22860</xdr:rowOff>
                  </from>
                  <to>
                    <xdr:col>2</xdr:col>
                    <xdr:colOff>518160</xdr:colOff>
                    <xdr:row>4</xdr:row>
                    <xdr:rowOff>30480</xdr:rowOff>
                  </to>
                </anchor>
              </controlPr>
            </control>
          </mc:Choice>
        </mc:AlternateContent>
        <mc:AlternateContent xmlns:mc="http://schemas.openxmlformats.org/markup-compatibility/2006">
          <mc:Choice Requires="x14">
            <control shapeId="10245" r:id="rId7" name="Button 5">
              <controlPr defaultSize="0" print="0" autoFill="0" autoPict="0" macro="[0]!adjustRowHeight">
                <anchor moveWithCells="1" sizeWithCells="1">
                  <from>
                    <xdr:col>0</xdr:col>
                    <xdr:colOff>0</xdr:colOff>
                    <xdr:row>8</xdr:row>
                    <xdr:rowOff>167640</xdr:rowOff>
                  </from>
                  <to>
                    <xdr:col>1</xdr:col>
                    <xdr:colOff>601980</xdr:colOff>
                    <xdr:row>10</xdr:row>
                    <xdr:rowOff>38100</xdr:rowOff>
                  </to>
                </anchor>
              </controlPr>
            </control>
          </mc:Choice>
        </mc:AlternateContent>
        <mc:AlternateContent xmlns:mc="http://schemas.openxmlformats.org/markup-compatibility/2006">
          <mc:Choice Requires="x14">
            <control shapeId="10246" r:id="rId8" name="Button 6">
              <controlPr defaultSize="0" print="0" autoFill="0" autoPict="0" macro="[0]!refreshCharts">
                <anchor moveWithCells="1" sizeWithCells="1">
                  <from>
                    <xdr:col>0</xdr:col>
                    <xdr:colOff>68580</xdr:colOff>
                    <xdr:row>10</xdr:row>
                    <xdr:rowOff>160020</xdr:rowOff>
                  </from>
                  <to>
                    <xdr:col>1</xdr:col>
                    <xdr:colOff>601980</xdr:colOff>
                    <xdr:row>11</xdr:row>
                    <xdr:rowOff>160020</xdr:rowOff>
                  </to>
                </anchor>
              </controlPr>
            </control>
          </mc:Choice>
        </mc:AlternateContent>
        <mc:AlternateContent xmlns:mc="http://schemas.openxmlformats.org/markup-compatibility/2006">
          <mc:Choice Requires="x14">
            <control shapeId="10247" r:id="rId9" name="Button 7">
              <controlPr defaultSize="0" print="0" autoFill="0" autoPict="0" macro="[0]!ReplaceColorsInMultipleSheets">
                <anchor moveWithCells="1" sizeWithCells="1">
                  <from>
                    <xdr:col>0</xdr:col>
                    <xdr:colOff>68580</xdr:colOff>
                    <xdr:row>7</xdr:row>
                    <xdr:rowOff>0</xdr:rowOff>
                  </from>
                  <to>
                    <xdr:col>3</xdr:col>
                    <xdr:colOff>495300</xdr:colOff>
                    <xdr:row>8</xdr:row>
                    <xdr:rowOff>91440</xdr:rowOff>
                  </to>
                </anchor>
              </controlPr>
            </control>
          </mc:Choice>
        </mc:AlternateContent>
        <mc:AlternateContent xmlns:mc="http://schemas.openxmlformats.org/markup-compatibility/2006">
          <mc:Choice Requires="x14">
            <control shapeId="10248" r:id="rId10" name="Button 8">
              <controlPr defaultSize="0" print="0" autoFill="0" autoPict="0" macro="[0]!justifyContent">
                <anchor moveWithCells="1" sizeWithCells="1">
                  <from>
                    <xdr:col>0</xdr:col>
                    <xdr:colOff>30480</xdr:colOff>
                    <xdr:row>14</xdr:row>
                    <xdr:rowOff>114300</xdr:rowOff>
                  </from>
                  <to>
                    <xdr:col>3</xdr:col>
                    <xdr:colOff>289560</xdr:colOff>
                    <xdr:row>15</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01A82-1836-454C-970D-36B3767AC553}">
  <sheetPr codeName="Sheet1">
    <tabColor theme="4"/>
  </sheetPr>
  <dimension ref="A1:Q90"/>
  <sheetViews>
    <sheetView showGridLines="0" tabSelected="1" zoomScale="90" zoomScaleNormal="90" workbookViewId="0">
      <selection activeCell="N6" sqref="N6"/>
    </sheetView>
  </sheetViews>
  <sheetFormatPr defaultRowHeight="14.4" x14ac:dyDescent="0.3"/>
  <cols>
    <col min="1" max="1" width="13.21875" bestFit="1" customWidth="1"/>
    <col min="2" max="2" width="15.6640625" bestFit="1" customWidth="1"/>
    <col min="3" max="4" width="10.77734375" bestFit="1" customWidth="1"/>
    <col min="5" max="5" width="23.33203125" bestFit="1" customWidth="1"/>
    <col min="6" max="6" width="10.77734375" bestFit="1" customWidth="1"/>
    <col min="7" max="7" width="13.21875" bestFit="1" customWidth="1"/>
    <col min="8" max="8" width="16.77734375" bestFit="1" customWidth="1"/>
    <col min="9" max="9" width="15.5546875" bestFit="1" customWidth="1"/>
    <col min="10" max="10" width="10.77734375" bestFit="1" customWidth="1"/>
    <col min="11" max="11" width="7.21875" bestFit="1" customWidth="1"/>
    <col min="12" max="12" width="10.77734375" bestFit="1" customWidth="1"/>
    <col min="13" max="13" width="16" customWidth="1"/>
    <col min="14" max="14" width="17.6640625" style="14" customWidth="1"/>
    <col min="15" max="15" width="37.88671875" style="14" customWidth="1"/>
    <col min="16" max="16" width="16.33203125" style="32" bestFit="1" customWidth="1"/>
    <col min="17" max="17" width="15.21875" style="14" bestFit="1" customWidth="1"/>
    <col min="18" max="18" width="6.33203125" bestFit="1" customWidth="1"/>
    <col min="19" max="19" width="7.109375" bestFit="1" customWidth="1"/>
    <col min="20" max="20" width="11" bestFit="1" customWidth="1"/>
    <col min="21" max="21" width="11.6640625" bestFit="1" customWidth="1"/>
    <col min="22" max="22" width="11" bestFit="1" customWidth="1"/>
  </cols>
  <sheetData>
    <row r="1" spans="1:17" ht="15.6" x14ac:dyDescent="0.3">
      <c r="A1" s="13" t="s">
        <v>20</v>
      </c>
      <c r="B1" t="s">
        <v>67</v>
      </c>
      <c r="G1" s="13" t="s">
        <v>1</v>
      </c>
      <c r="H1" t="s">
        <v>68</v>
      </c>
      <c r="N1" s="57" t="s">
        <v>2</v>
      </c>
      <c r="O1" s="57"/>
      <c r="P1" s="57"/>
      <c r="Q1" s="57"/>
    </row>
    <row r="2" spans="1:17" x14ac:dyDescent="0.3">
      <c r="G2" s="14" t="s">
        <v>4</v>
      </c>
      <c r="H2" s="45">
        <v>67</v>
      </c>
      <c r="N2" s="29" t="s">
        <v>5</v>
      </c>
      <c r="O2" s="29" t="s">
        <v>6</v>
      </c>
      <c r="P2" s="30" t="s">
        <v>7</v>
      </c>
      <c r="Q2" s="30" t="s">
        <v>52</v>
      </c>
    </row>
    <row r="3" spans="1:17" x14ac:dyDescent="0.3">
      <c r="B3" s="13" t="s">
        <v>0</v>
      </c>
      <c r="G3" s="14" t="s">
        <v>8</v>
      </c>
      <c r="H3" s="45">
        <v>5</v>
      </c>
      <c r="N3" s="15" t="str" cm="1">
        <f t="array" aca="1" ref="N3" ca="1">IFERROR(_xlfn.CHOOSECOLS(_xlfn._xlws.FILTER(Milestones!A:K,Milestones!J:J=TRUE,""),1,2,5,6),"")</f>
        <v/>
      </c>
      <c r="O3" s="16"/>
      <c r="P3" s="31"/>
    </row>
    <row r="4" spans="1:17" x14ac:dyDescent="0.3">
      <c r="B4" t="s">
        <v>121</v>
      </c>
      <c r="C4" t="s">
        <v>120</v>
      </c>
      <c r="D4" t="s">
        <v>3</v>
      </c>
      <c r="G4" s="14" t="s">
        <v>9</v>
      </c>
      <c r="H4" s="45">
        <v>43</v>
      </c>
    </row>
    <row r="5" spans="1:17" x14ac:dyDescent="0.3">
      <c r="A5" t="s">
        <v>68</v>
      </c>
      <c r="B5" s="45">
        <v>11</v>
      </c>
      <c r="C5" s="45">
        <v>12</v>
      </c>
      <c r="D5" s="45">
        <v>23</v>
      </c>
      <c r="G5" s="14" t="s">
        <v>10</v>
      </c>
      <c r="H5" s="45">
        <v>20</v>
      </c>
    </row>
    <row r="6" spans="1:17" x14ac:dyDescent="0.3">
      <c r="G6" s="14" t="s">
        <v>85</v>
      </c>
      <c r="H6" s="45">
        <v>5</v>
      </c>
    </row>
    <row r="7" spans="1:17" x14ac:dyDescent="0.3">
      <c r="G7" s="14" t="s">
        <v>3</v>
      </c>
      <c r="H7" s="45">
        <v>140</v>
      </c>
    </row>
    <row r="11" spans="1:17" ht="15.6" x14ac:dyDescent="0.3">
      <c r="N11" s="57" t="s">
        <v>11</v>
      </c>
      <c r="O11" s="57"/>
      <c r="P11" s="57"/>
      <c r="Q11" s="57"/>
    </row>
    <row r="12" spans="1:17" x14ac:dyDescent="0.3">
      <c r="N12" s="29" t="s">
        <v>5</v>
      </c>
      <c r="O12" s="29" t="s">
        <v>6</v>
      </c>
      <c r="P12" s="30" t="s">
        <v>12</v>
      </c>
      <c r="Q12" s="30" t="s">
        <v>52</v>
      </c>
    </row>
    <row r="13" spans="1:17" x14ac:dyDescent="0.3">
      <c r="N13" s="16" t="str" cm="1">
        <f t="array" aca="1" ref="N13:Q18" ca="1">IFERROR(_xlfn._xlws.SORT(_xlfn.CHOOSECOLS(_xlfn._xlws.FILTER(Milestones!A2:K237,(Milestones!K2:K237="To be completed")*(Milestones!F2:F237&lt;&gt;"Pending")*(Milestones!F2:F237&lt;&gt;"Pending Customer"),""),1,2,4,6),3,1),"")</f>
        <v>PROJECT_ALPHA</v>
      </c>
      <c r="O13" s="14" t="str">
        <f ca="1"/>
        <v>Lorem ipsum dolor sit amet, consectetur adipiscing elit.</v>
      </c>
      <c r="P13" s="32">
        <f ca="1"/>
        <v>45772</v>
      </c>
      <c r="Q13" s="14" t="str">
        <f ca="1"/>
        <v>Open</v>
      </c>
    </row>
    <row r="14" spans="1:17" x14ac:dyDescent="0.3">
      <c r="N14" s="14" t="str">
        <f ca="1"/>
        <v>PROJECT_FOXTROT</v>
      </c>
      <c r="O14" s="14" t="str">
        <f ca="1"/>
        <v>Lorem ipsum dolor sit amet, consectetur adipiscing elit.</v>
      </c>
      <c r="P14" s="32">
        <f ca="1"/>
        <v>45777</v>
      </c>
      <c r="Q14" s="14" t="str">
        <f ca="1"/>
        <v>Work in Progress</v>
      </c>
    </row>
    <row r="15" spans="1:17" x14ac:dyDescent="0.3">
      <c r="N15" s="14" t="str">
        <f ca="1"/>
        <v>PROJECT_ALPHA</v>
      </c>
      <c r="O15" s="14" t="str">
        <f ca="1"/>
        <v>Lorem ipsum dolor sit amet, consectetur adipiscing elit.</v>
      </c>
      <c r="P15" s="32">
        <f ca="1"/>
        <v>45786</v>
      </c>
      <c r="Q15" s="14" t="str">
        <f ca="1"/>
        <v>Open</v>
      </c>
    </row>
    <row r="16" spans="1:17" x14ac:dyDescent="0.3">
      <c r="N16" s="14" t="str">
        <f ca="1"/>
        <v>PROJECT_DELTA</v>
      </c>
      <c r="O16" s="14" t="str">
        <f ca="1"/>
        <v>Lorem ipsum dolor sit amet, consectetur adipiscing elit.</v>
      </c>
      <c r="P16" s="32">
        <f ca="1"/>
        <v>45793</v>
      </c>
      <c r="Q16" s="14" t="str">
        <f ca="1"/>
        <v>Open</v>
      </c>
    </row>
    <row r="17" spans="1:17" x14ac:dyDescent="0.3">
      <c r="N17" s="14" t="str">
        <f ca="1"/>
        <v>PROJECT_ROMEO</v>
      </c>
      <c r="O17" s="14" t="str">
        <f ca="1"/>
        <v>Lorem ipsum dolor sit amet, consectetur adipiscing elit.</v>
      </c>
      <c r="P17" s="32">
        <f ca="1"/>
        <v>45810</v>
      </c>
      <c r="Q17" s="14" t="str">
        <f ca="1"/>
        <v>Open</v>
      </c>
    </row>
    <row r="18" spans="1:17" x14ac:dyDescent="0.3">
      <c r="A18" s="13" t="s">
        <v>33</v>
      </c>
      <c r="B18" t="s">
        <v>99</v>
      </c>
      <c r="G18" s="13" t="s">
        <v>1</v>
      </c>
      <c r="H18" t="s">
        <v>68</v>
      </c>
      <c r="N18" s="14" t="str">
        <f ca="1"/>
        <v>PROJECT_INDIA</v>
      </c>
      <c r="O18" s="14" t="str">
        <f ca="1"/>
        <v>Lorem ipsum dolor sit amet, consectetur adipiscing elit.</v>
      </c>
      <c r="P18" s="32">
        <f ca="1"/>
        <v>45838</v>
      </c>
      <c r="Q18" s="14" t="str">
        <f ca="1"/>
        <v>Work in Progress</v>
      </c>
    </row>
    <row r="19" spans="1:17" x14ac:dyDescent="0.3">
      <c r="G19" s="14" t="s">
        <v>119</v>
      </c>
      <c r="H19" s="45">
        <v>4</v>
      </c>
    </row>
    <row r="20" spans="1:17" x14ac:dyDescent="0.3">
      <c r="B20" s="13" t="s">
        <v>0</v>
      </c>
      <c r="G20" s="14" t="s">
        <v>16</v>
      </c>
      <c r="H20" s="45">
        <v>14</v>
      </c>
    </row>
    <row r="21" spans="1:17" x14ac:dyDescent="0.3">
      <c r="B21" t="s">
        <v>13</v>
      </c>
      <c r="C21" t="s">
        <v>14</v>
      </c>
      <c r="D21" t="s">
        <v>3</v>
      </c>
      <c r="G21" s="14" t="s">
        <v>15</v>
      </c>
      <c r="H21" s="45">
        <v>6</v>
      </c>
    </row>
    <row r="22" spans="1:17" x14ac:dyDescent="0.3">
      <c r="A22" t="s">
        <v>68</v>
      </c>
      <c r="B22" s="45">
        <v>4</v>
      </c>
      <c r="C22" s="45">
        <v>1</v>
      </c>
      <c r="D22" s="45">
        <v>5</v>
      </c>
      <c r="G22" s="14" t="s">
        <v>3</v>
      </c>
      <c r="H22" s="45">
        <v>24</v>
      </c>
    </row>
    <row r="35" spans="1:12" x14ac:dyDescent="0.3">
      <c r="A35" s="13" t="s">
        <v>33</v>
      </c>
      <c r="B35" t="s">
        <v>8</v>
      </c>
      <c r="H35" s="13" t="s">
        <v>33</v>
      </c>
      <c r="I35" t="s">
        <v>8</v>
      </c>
    </row>
    <row r="37" spans="1:12" x14ac:dyDescent="0.3">
      <c r="B37" s="13" t="s">
        <v>0</v>
      </c>
      <c r="I37" s="13" t="s">
        <v>0</v>
      </c>
    </row>
    <row r="38" spans="1:12" x14ac:dyDescent="0.3">
      <c r="B38" t="s">
        <v>87</v>
      </c>
      <c r="C38" t="s">
        <v>18</v>
      </c>
      <c r="D38" t="s">
        <v>105</v>
      </c>
      <c r="E38" t="s">
        <v>91</v>
      </c>
      <c r="F38" t="s">
        <v>3</v>
      </c>
      <c r="I38" t="s">
        <v>17</v>
      </c>
      <c r="J38" t="s">
        <v>55</v>
      </c>
      <c r="K38" t="s">
        <v>54</v>
      </c>
      <c r="L38" t="s">
        <v>3</v>
      </c>
    </row>
    <row r="39" spans="1:12" x14ac:dyDescent="0.3">
      <c r="A39" t="s">
        <v>68</v>
      </c>
      <c r="B39" s="45">
        <v>9</v>
      </c>
      <c r="C39" s="45">
        <v>4</v>
      </c>
      <c r="D39" s="45">
        <v>4</v>
      </c>
      <c r="E39" s="45">
        <v>1</v>
      </c>
      <c r="F39" s="45">
        <v>18</v>
      </c>
      <c r="H39" t="s">
        <v>68</v>
      </c>
      <c r="I39" s="45">
        <v>11</v>
      </c>
      <c r="J39" s="45">
        <v>5</v>
      </c>
      <c r="K39" s="45">
        <v>2</v>
      </c>
      <c r="L39" s="45">
        <v>18</v>
      </c>
    </row>
    <row r="52" spans="1:10" x14ac:dyDescent="0.3">
      <c r="A52" s="13" t="s">
        <v>20</v>
      </c>
      <c r="B52" t="s">
        <v>119</v>
      </c>
      <c r="G52" s="13" t="s">
        <v>20</v>
      </c>
      <c r="H52" t="s">
        <v>15</v>
      </c>
    </row>
    <row r="54" spans="1:10" x14ac:dyDescent="0.3">
      <c r="B54" s="13" t="s">
        <v>0</v>
      </c>
      <c r="H54" s="13" t="s">
        <v>0</v>
      </c>
    </row>
    <row r="55" spans="1:10" x14ac:dyDescent="0.3">
      <c r="B55" t="s">
        <v>10</v>
      </c>
      <c r="C55" t="s">
        <v>3</v>
      </c>
      <c r="H55" t="s">
        <v>121</v>
      </c>
      <c r="I55" t="s">
        <v>120</v>
      </c>
      <c r="J55" t="s">
        <v>3</v>
      </c>
    </row>
    <row r="56" spans="1:10" x14ac:dyDescent="0.3">
      <c r="A56" t="s">
        <v>100</v>
      </c>
      <c r="B56" s="45">
        <v>4</v>
      </c>
      <c r="C56" s="45">
        <v>4</v>
      </c>
      <c r="G56" t="s">
        <v>101</v>
      </c>
      <c r="H56" s="45">
        <v>5</v>
      </c>
      <c r="I56" s="45">
        <v>1</v>
      </c>
      <c r="J56" s="45">
        <v>6</v>
      </c>
    </row>
    <row r="69" spans="1:10" x14ac:dyDescent="0.3">
      <c r="A69" s="13" t="s">
        <v>20</v>
      </c>
      <c r="B69" t="s">
        <v>16</v>
      </c>
      <c r="G69" s="13" t="s">
        <v>20</v>
      </c>
      <c r="H69" t="s">
        <v>15</v>
      </c>
    </row>
    <row r="71" spans="1:10" x14ac:dyDescent="0.3">
      <c r="B71" s="13" t="s">
        <v>0</v>
      </c>
      <c r="H71" s="13" t="s">
        <v>0</v>
      </c>
    </row>
    <row r="72" spans="1:10" x14ac:dyDescent="0.3">
      <c r="B72" t="s">
        <v>121</v>
      </c>
      <c r="C72" t="s">
        <v>120</v>
      </c>
      <c r="D72" t="s">
        <v>3</v>
      </c>
      <c r="H72" t="s">
        <v>9</v>
      </c>
      <c r="I72" t="s">
        <v>10</v>
      </c>
      <c r="J72" t="s">
        <v>3</v>
      </c>
    </row>
    <row r="73" spans="1:10" x14ac:dyDescent="0.3">
      <c r="A73" t="s">
        <v>101</v>
      </c>
      <c r="B73" s="45">
        <v>5</v>
      </c>
      <c r="C73" s="45">
        <v>8</v>
      </c>
      <c r="D73" s="45">
        <v>13</v>
      </c>
      <c r="G73" t="s">
        <v>100</v>
      </c>
      <c r="H73" s="45">
        <v>5</v>
      </c>
      <c r="I73" s="45">
        <v>1</v>
      </c>
      <c r="J73" s="45">
        <v>6</v>
      </c>
    </row>
    <row r="86" spans="1:10" x14ac:dyDescent="0.3">
      <c r="A86" s="13" t="s">
        <v>20</v>
      </c>
      <c r="B86" t="s">
        <v>119</v>
      </c>
      <c r="G86" s="13" t="s">
        <v>20</v>
      </c>
      <c r="H86" t="s">
        <v>16</v>
      </c>
    </row>
    <row r="88" spans="1:10" x14ac:dyDescent="0.3">
      <c r="B88" s="13" t="s">
        <v>0</v>
      </c>
      <c r="H88" s="13" t="s">
        <v>0</v>
      </c>
    </row>
    <row r="89" spans="1:10" x14ac:dyDescent="0.3">
      <c r="B89" t="s">
        <v>121</v>
      </c>
      <c r="C89" t="s">
        <v>120</v>
      </c>
      <c r="D89" t="s">
        <v>3</v>
      </c>
      <c r="H89" t="s">
        <v>85</v>
      </c>
      <c r="I89" t="s">
        <v>10</v>
      </c>
      <c r="J89" t="s">
        <v>3</v>
      </c>
    </row>
    <row r="90" spans="1:10" x14ac:dyDescent="0.3">
      <c r="A90" t="s">
        <v>100</v>
      </c>
      <c r="B90" s="45">
        <v>1</v>
      </c>
      <c r="C90" s="45">
        <v>3</v>
      </c>
      <c r="D90" s="45">
        <v>4</v>
      </c>
      <c r="G90" t="s">
        <v>100</v>
      </c>
      <c r="H90" s="45">
        <v>1</v>
      </c>
      <c r="I90" s="45">
        <v>13</v>
      </c>
      <c r="J90" s="45">
        <v>14</v>
      </c>
    </row>
  </sheetData>
  <mergeCells count="2">
    <mergeCell ref="N1:Q1"/>
    <mergeCell ref="N11:Q11"/>
  </mergeCells>
  <conditionalFormatting sqref="E40">
    <cfRule type="containsText" dxfId="104" priority="1" operator="containsText" text="Significant">
      <formula>NOT(ISERROR(SEARCH("Significant",E40)))</formula>
    </cfRule>
    <cfRule type="containsText" dxfId="103" priority="2" operator="containsText" text="Moderate">
      <formula>NOT(ISERROR(SEARCH("Moderate",E40)))</formula>
    </cfRule>
  </conditionalFormatting>
  <pageMargins left="0.7" right="0.7" top="0.75" bottom="0.75" header="0.3" footer="0.3"/>
  <drawing r:id="rId13"/>
  <legacyDrawing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9956-410B-4125-919F-B2225F9080BD}">
  <sheetPr codeName="Sheet2">
    <tabColor theme="8"/>
  </sheetPr>
  <dimension ref="A1:P45"/>
  <sheetViews>
    <sheetView zoomScale="115" zoomScaleNormal="115" workbookViewId="0">
      <pane ySplit="1" topLeftCell="A2" activePane="bottomLeft" state="frozen"/>
      <selection pane="bottomLeft" activeCell="M2" sqref="M2"/>
    </sheetView>
  </sheetViews>
  <sheetFormatPr defaultColWidth="8.88671875" defaultRowHeight="13.8" x14ac:dyDescent="0.3"/>
  <cols>
    <col min="1" max="1" width="16" style="2" bestFit="1" customWidth="1"/>
    <col min="2" max="2" width="9.33203125" style="2" customWidth="1"/>
    <col min="3" max="3" width="11.6640625" style="17" customWidth="1"/>
    <col min="4" max="4" width="7.44140625" style="24" customWidth="1"/>
    <col min="5" max="5" width="9.77734375" style="3" customWidth="1"/>
    <col min="6" max="6" width="16.5546875" style="2" bestFit="1" customWidth="1"/>
    <col min="7" max="7" width="3.21875" style="43" customWidth="1"/>
    <col min="8" max="9" width="2.6640625" style="43" customWidth="1"/>
    <col min="10" max="11" width="2.77734375" style="43" customWidth="1"/>
    <col min="12" max="12" width="9.6640625" style="41" customWidth="1"/>
    <col min="13" max="13" width="37.6640625" style="41" customWidth="1"/>
    <col min="14" max="14" width="38.5546875" style="17" customWidth="1"/>
    <col min="15" max="15" width="41.109375" style="17" customWidth="1"/>
    <col min="16" max="16" width="34.77734375" style="17" customWidth="1"/>
    <col min="17" max="16384" width="8.88671875" style="1"/>
  </cols>
  <sheetData>
    <row r="1" spans="1:16" s="38" customFormat="1" ht="49.8" customHeight="1" x14ac:dyDescent="0.2">
      <c r="A1" s="33" t="s">
        <v>5</v>
      </c>
      <c r="B1" s="33" t="s">
        <v>20</v>
      </c>
      <c r="C1" s="34" t="s">
        <v>33</v>
      </c>
      <c r="D1" s="33" t="s">
        <v>19</v>
      </c>
      <c r="E1" s="35" t="s">
        <v>46</v>
      </c>
      <c r="F1" s="33" t="s">
        <v>50</v>
      </c>
      <c r="G1" s="36" t="s">
        <v>21</v>
      </c>
      <c r="H1" s="37" t="s">
        <v>22</v>
      </c>
      <c r="I1" s="37" t="s">
        <v>23</v>
      </c>
      <c r="J1" s="37" t="s">
        <v>24</v>
      </c>
      <c r="K1" s="37" t="s">
        <v>25</v>
      </c>
      <c r="L1" s="39" t="s">
        <v>12</v>
      </c>
      <c r="M1" s="34" t="s">
        <v>122</v>
      </c>
      <c r="N1" s="34" t="s">
        <v>26</v>
      </c>
      <c r="O1" s="34" t="s">
        <v>27</v>
      </c>
      <c r="P1" s="34" t="s">
        <v>28</v>
      </c>
    </row>
    <row r="2" spans="1:16" ht="40.799999999999997" x14ac:dyDescent="0.3">
      <c r="A2" s="23" t="str">
        <f>IFERROR(Projects[[#This Row],[Project Name]],"")</f>
        <v>PROJECT_ALPHA</v>
      </c>
      <c r="B2" s="23" t="str">
        <f>_xlfn.XLOOKUP(A2,Projects!A:A,Projects!C:C,"")</f>
        <v>Delivering</v>
      </c>
      <c r="C2" s="28" t="str">
        <f>_xlfn.XLOOKUP(A2,Projects!A:A,Projects!D:D," ")</f>
        <v>Work in Progress</v>
      </c>
      <c r="D2" s="27">
        <f>_xlfn.XLOOKUP(A2,Projects!A:A,Projects!E:E," ")</f>
        <v>0.58799999999999997</v>
      </c>
      <c r="E2" s="25" t="str">
        <f>_xlfn.XLOOKUP($A2,Projects!$A:$A,Projects!G:G," ")</f>
        <v>1 - Critical</v>
      </c>
      <c r="F2" s="26" t="str">
        <f>_xlfn.XLOOKUP($A2,Projects!$A:$A,Projects!H:H," ")</f>
        <v xml:space="preserve">1 PROJECT MANAGER </v>
      </c>
      <c r="G2" s="42" t="str">
        <f>_xlfn.XLOOKUP($A2,Projects!$A:$A,Projects!F:F," ")</f>
        <v>Y</v>
      </c>
      <c r="H2" s="43" t="str">
        <f>_xlfn.XLOOKUP($A2,'RAG'!$A:$A,'RAG'!G:G," ")</f>
        <v>G</v>
      </c>
      <c r="I2" s="43" t="str">
        <f>_xlfn.XLOOKUP($A2,'RAG'!$A:$A,'RAG'!H:H," ")</f>
        <v>G</v>
      </c>
      <c r="J2" s="43" t="str">
        <f>_xlfn.XLOOKUP($A2,'RAG'!$A:$A,'RAG'!I:I," ")</f>
        <v>G</v>
      </c>
      <c r="K2" s="43" t="str">
        <f>_xlfn.XLOOKUP($A2,'RAG'!$A:$A,'RAG'!K:K," ")</f>
        <v>G</v>
      </c>
      <c r="L2" s="40">
        <f>_xlfn.XLOOKUP(A2,Projects!A:A,Projects!M:M,"")</f>
        <v>45777</v>
      </c>
      <c r="M2" s="19" t="str">
        <f>TRIM(CLEAN(_xlfn.XLOOKUP($A2,'RAG'!$A:$A,'RAG'!J:J," ")))</f>
        <v>Lorem ipsum dolor sit amet, consectetur adipiscing elit.</v>
      </c>
      <c r="N2" s="19" t="str">
        <f>TRIM(CLEAN(_xlfn.XLOOKUP($A2,'RAG'!$A:$A,'RAG'!M:M," ")))</f>
        <v>Lorem ipsum dolor sit amet, consectetur adipiscing elit.</v>
      </c>
      <c r="O2" s="19" t="str">
        <f>TRIM(CLEAN(_xlfn.XLOOKUP($A2,'RAG'!$A:$A,'RAG'!O:O," ")))</f>
        <v>Lorem ipsum dolor sit amet, consectetur adipiscing elit.</v>
      </c>
      <c r="P2" s="19" t="str">
        <f>TRIM(CLEAN(_xlfn.XLOOKUP($A2,'RAG'!$A:$A,'RAG'!N:N," ")))</f>
        <v>Lorem ipsum dolor sit amet, consectetur adipiscing elit.</v>
      </c>
    </row>
    <row r="3" spans="1:16" x14ac:dyDescent="0.3">
      <c r="A3" s="23" t="str">
        <f>IFERROR(Projects[[#This Row],[Project Name]],"")</f>
        <v>PROJECT_BRAVO</v>
      </c>
      <c r="B3" s="23" t="str">
        <f>_xlfn.XLOOKUP(A3,Projects!A:A,Projects!C:C,"")</f>
        <v>Initiating</v>
      </c>
      <c r="C3" s="28" t="str">
        <f>_xlfn.XLOOKUP(A3,Projects!A:A,Projects!D:D," ")</f>
        <v>Pending</v>
      </c>
      <c r="D3" s="27">
        <f>_xlfn.XLOOKUP(A3,Projects!A:A,Projects!E:E," ")</f>
        <v>0</v>
      </c>
      <c r="E3" s="25" t="str">
        <f>_xlfn.XLOOKUP($A3,Projects!$A:$A,Projects!G:G," ")</f>
        <v>1 - Critical</v>
      </c>
      <c r="F3" s="26" t="str">
        <f>_xlfn.XLOOKUP($A3,Projects!$A:$A,Projects!H:H," ")</f>
        <v xml:space="preserve">2 PROJECT MANAGER </v>
      </c>
      <c r="G3" s="42" t="str">
        <f>_xlfn.XLOOKUP($A3,Projects!$A:$A,Projects!F:F," ")</f>
        <v>G</v>
      </c>
      <c r="H3" s="43" t="str">
        <f>_xlfn.XLOOKUP($A3,'RAG'!$A:$A,'RAG'!G:G," ")</f>
        <v>G</v>
      </c>
      <c r="I3" s="43" t="str">
        <f>_xlfn.XLOOKUP($A3,'RAG'!$A:$A,'RAG'!H:H," ")</f>
        <v>G</v>
      </c>
      <c r="J3" s="43" t="str">
        <f>_xlfn.XLOOKUP($A3,'RAG'!$A:$A,'RAG'!I:I," ")</f>
        <v>G</v>
      </c>
      <c r="K3" s="43" t="str">
        <f>_xlfn.XLOOKUP($A3,'RAG'!$A:$A,'RAG'!K:K," ")</f>
        <v>G</v>
      </c>
      <c r="L3" s="40">
        <f>_xlfn.XLOOKUP(A3,Projects!A:A,Projects!M:M,"")</f>
        <v>45930</v>
      </c>
      <c r="M3" s="19" t="str">
        <f>TRIM(CLEAN(_xlfn.XLOOKUP($A3,'RAG'!$A:$A,'RAG'!J:J," ")))</f>
        <v>Lorem ipsum dolor sit amet, consectetur adipiscing elit.</v>
      </c>
      <c r="N3" s="19" t="str">
        <f>TRIM(CLEAN(_xlfn.XLOOKUP($A3,'RAG'!$A:$A,'RAG'!M:M," ")))</f>
        <v>Lorem ipsum dolor sit amet, consectetur adipiscing elit.</v>
      </c>
      <c r="O3" s="19" t="str">
        <f>TRIM(CLEAN(_xlfn.XLOOKUP($A3,'RAG'!$A:$A,'RAG'!O:O," ")))</f>
        <v>Lorem ipsum dolor sit amet, consectetur adipiscing elit.</v>
      </c>
      <c r="P3" s="19" t="str">
        <f>TRIM(CLEAN(_xlfn.XLOOKUP($A3,'RAG'!$A:$A,'RAG'!N:N," ")))</f>
        <v>Lorem ipsum dolor sit amet, consectetur adipiscing elit.</v>
      </c>
    </row>
    <row r="4" spans="1:16" x14ac:dyDescent="0.3">
      <c r="A4" s="23" t="str">
        <f>IFERROR(Projects[[#This Row],[Project Name]],"")</f>
        <v>PROJECT_CHARLIE</v>
      </c>
      <c r="B4" s="23" t="str">
        <f>_xlfn.XLOOKUP(A4,Projects!A:A,Projects!C:C,"")</f>
        <v>Initiating</v>
      </c>
      <c r="C4" s="28" t="str">
        <f>_xlfn.XLOOKUP(A4,Projects!A:A,Projects!D:D," ")</f>
        <v>Pending</v>
      </c>
      <c r="D4" s="27">
        <f>_xlfn.XLOOKUP(A4,Projects!A:A,Projects!E:E," ")</f>
        <v>0</v>
      </c>
      <c r="E4" s="25" t="str">
        <f>_xlfn.XLOOKUP($A4,Projects!$A:$A,Projects!G:G," ")</f>
        <v>1 - Critical</v>
      </c>
      <c r="F4" s="26" t="str">
        <f>_xlfn.XLOOKUP($A4,Projects!$A:$A,Projects!H:H," ")</f>
        <v xml:space="preserve">2 PROJECT MANAGER </v>
      </c>
      <c r="G4" s="42" t="str">
        <f>_xlfn.XLOOKUP($A4,Projects!$A:$A,Projects!F:F," ")</f>
        <v>G</v>
      </c>
      <c r="H4" s="43" t="str">
        <f>_xlfn.XLOOKUP($A4,'RAG'!$A:$A,'RAG'!G:G," ")</f>
        <v>G</v>
      </c>
      <c r="I4" s="43" t="str">
        <f>_xlfn.XLOOKUP($A4,'RAG'!$A:$A,'RAG'!H:H," ")</f>
        <v>Y</v>
      </c>
      <c r="J4" s="43" t="str">
        <f>_xlfn.XLOOKUP($A4,'RAG'!$A:$A,'RAG'!I:I," ")</f>
        <v>Y</v>
      </c>
      <c r="K4" s="43" t="str">
        <f>_xlfn.XLOOKUP($A4,'RAG'!$A:$A,'RAG'!K:K," ")</f>
        <v>G</v>
      </c>
      <c r="L4" s="40">
        <f>_xlfn.XLOOKUP(A4,Projects!A:A,Projects!M:M,"")</f>
        <v>46108</v>
      </c>
      <c r="M4" s="19" t="str">
        <f>TRIM(CLEAN(_xlfn.XLOOKUP($A4,'RAG'!$A:$A,'RAG'!J:J," ")))</f>
        <v>Lorem ipsum dolor sit amet, consectetur adipiscing elit.</v>
      </c>
      <c r="N4" s="19" t="str">
        <f>TRIM(CLEAN(_xlfn.XLOOKUP($A4,'RAG'!$A:$A,'RAG'!M:M," ")))</f>
        <v>Lorem ipsum dolor sit amet, consectetur adipiscing elit.</v>
      </c>
      <c r="O4" s="19" t="str">
        <f>TRIM(CLEAN(_xlfn.XLOOKUP($A4,'RAG'!$A:$A,'RAG'!O:O," ")))</f>
        <v>Lorem ipsum dolor sit amet, consectetur adipiscing elit.</v>
      </c>
      <c r="P4" s="19" t="str">
        <f>TRIM(CLEAN(_xlfn.XLOOKUP($A4,'RAG'!$A:$A,'RAG'!N:N," ")))</f>
        <v>Lorem ipsum dolor sit amet, consectetur adipiscing elit.</v>
      </c>
    </row>
    <row r="5" spans="1:16" x14ac:dyDescent="0.3">
      <c r="A5" s="23" t="str">
        <f>IFERROR(Projects[[#This Row],[Project Name]],"")</f>
        <v>PROJECT_DELTA</v>
      </c>
      <c r="B5" s="23" t="str">
        <f>_xlfn.XLOOKUP(A5,Projects!A:A,Projects!C:C,"")</f>
        <v>Delivering</v>
      </c>
      <c r="C5" s="28" t="str">
        <f>_xlfn.XLOOKUP(A5,Projects!A:A,Projects!D:D," ")</f>
        <v>Work in Progress</v>
      </c>
      <c r="D5" s="27">
        <f>_xlfn.XLOOKUP(A5,Projects!A:A,Projects!E:E," ")</f>
        <v>0.55000000000000004</v>
      </c>
      <c r="E5" s="25" t="str">
        <f>_xlfn.XLOOKUP($A5,Projects!$A:$A,Projects!G:G," ")</f>
        <v>1 - Critical</v>
      </c>
      <c r="F5" s="26" t="str">
        <f>_xlfn.XLOOKUP($A5,Projects!$A:$A,Projects!H:H," ")</f>
        <v xml:space="preserve">2 PROJECT MANAGER </v>
      </c>
      <c r="G5" s="42" t="str">
        <f>_xlfn.XLOOKUP($A5,Projects!$A:$A,Projects!F:F," ")</f>
        <v>G</v>
      </c>
      <c r="H5" s="43" t="str">
        <f>_xlfn.XLOOKUP($A5,'RAG'!$A:$A,'RAG'!G:G," ")</f>
        <v>Y</v>
      </c>
      <c r="I5" s="43" t="str">
        <f>_xlfn.XLOOKUP($A5,'RAG'!$A:$A,'RAG'!H:H," ")</f>
        <v>G</v>
      </c>
      <c r="J5" s="43" t="str">
        <f>_xlfn.XLOOKUP($A5,'RAG'!$A:$A,'RAG'!I:I," ")</f>
        <v>G</v>
      </c>
      <c r="K5" s="43" t="str">
        <f>_xlfn.XLOOKUP($A5,'RAG'!$A:$A,'RAG'!K:K," ")</f>
        <v>G</v>
      </c>
      <c r="L5" s="40">
        <f>_xlfn.XLOOKUP(A5,Projects!A:A,Projects!M:M,"")</f>
        <v>45747</v>
      </c>
      <c r="M5" s="19" t="str">
        <f>TRIM(CLEAN(_xlfn.XLOOKUP($A5,'RAG'!$A:$A,'RAG'!J:J," ")))</f>
        <v>Lorem ipsum dolor sit amet, consectetur adipiscing elit.</v>
      </c>
      <c r="N5" s="19" t="str">
        <f>TRIM(CLEAN(_xlfn.XLOOKUP($A5,'RAG'!$A:$A,'RAG'!M:M," ")))</f>
        <v>Lorem ipsum dolor sit amet, consectetur adipiscing elit.</v>
      </c>
      <c r="O5" s="19" t="str">
        <f>TRIM(CLEAN(_xlfn.XLOOKUP($A5,'RAG'!$A:$A,'RAG'!O:O," ")))</f>
        <v>Lorem ipsum dolor sit amet, consectetur adipiscing elit.</v>
      </c>
      <c r="P5" s="19" t="str">
        <f>TRIM(CLEAN(_xlfn.XLOOKUP($A5,'RAG'!$A:$A,'RAG'!N:N," ")))</f>
        <v>Lorem ipsum dolor sit amet, consectetur adipiscing elit.</v>
      </c>
    </row>
    <row r="6" spans="1:16" x14ac:dyDescent="0.3">
      <c r="A6" s="23" t="str">
        <f>IFERROR(Projects[[#This Row],[Project Name]],"")</f>
        <v>PROJECT_ECHO</v>
      </c>
      <c r="B6" s="23" t="str">
        <f>_xlfn.XLOOKUP(A6,Projects!A:A,Projects!C:C,"")</f>
        <v>Initiating</v>
      </c>
      <c r="C6" s="28" t="str">
        <f>_xlfn.XLOOKUP(A6,Projects!A:A,Projects!D:D," ")</f>
        <v>Pending</v>
      </c>
      <c r="D6" s="27">
        <f>_xlfn.XLOOKUP(A6,Projects!A:A,Projects!E:E," ")</f>
        <v>0</v>
      </c>
      <c r="E6" s="25" t="str">
        <f>_xlfn.XLOOKUP($A6,Projects!$A:$A,Projects!G:G," ")</f>
        <v>1 - Critical</v>
      </c>
      <c r="F6" s="26" t="str">
        <f>_xlfn.XLOOKUP($A6,Projects!$A:$A,Projects!H:H," ")</f>
        <v xml:space="preserve">2 PROJECT MANAGER </v>
      </c>
      <c r="G6" s="42" t="str">
        <f>_xlfn.XLOOKUP($A6,Projects!$A:$A,Projects!F:F," ")</f>
        <v>G</v>
      </c>
      <c r="H6" s="43" t="str">
        <f>_xlfn.XLOOKUP($A6,'RAG'!$A:$A,'RAG'!G:G," ")</f>
        <v>G</v>
      </c>
      <c r="I6" s="43" t="str">
        <f>_xlfn.XLOOKUP($A6,'RAG'!$A:$A,'RAG'!H:H," ")</f>
        <v>G</v>
      </c>
      <c r="J6" s="43" t="str">
        <f>_xlfn.XLOOKUP($A6,'RAG'!$A:$A,'RAG'!I:I," ")</f>
        <v>R</v>
      </c>
      <c r="K6" s="43" t="str">
        <f>_xlfn.XLOOKUP($A6,'RAG'!$A:$A,'RAG'!K:K," ")</f>
        <v>G</v>
      </c>
      <c r="L6" s="40">
        <f>_xlfn.XLOOKUP(A6,Projects!A:A,Projects!M:M,"")</f>
        <v>45385</v>
      </c>
      <c r="M6" s="19" t="str">
        <f>TRIM(CLEAN(_xlfn.XLOOKUP($A6,'RAG'!$A:$A,'RAG'!J:J," ")))</f>
        <v>Lorem ipsum dolor sit amet, consectetur adipiscing elit.</v>
      </c>
      <c r="N6" s="19" t="str">
        <f>TRIM(CLEAN(_xlfn.XLOOKUP($A6,'RAG'!$A:$A,'RAG'!M:M," ")))</f>
        <v>Lorem ipsum dolor sit amet, consectetur adipiscing elit.</v>
      </c>
      <c r="O6" s="19" t="str">
        <f>TRIM(CLEAN(_xlfn.XLOOKUP($A6,'RAG'!$A:$A,'RAG'!O:O," ")))</f>
        <v>Lorem ipsum dolor sit amet, consectetur adipiscing elit.</v>
      </c>
      <c r="P6" s="19" t="str">
        <f>TRIM(CLEAN(_xlfn.XLOOKUP($A6,'RAG'!$A:$A,'RAG'!N:N," ")))</f>
        <v>Lorem ipsum dolor sit amet, consectetur adipiscing elit.</v>
      </c>
    </row>
    <row r="7" spans="1:16" x14ac:dyDescent="0.3">
      <c r="A7" s="23" t="str">
        <f>IFERROR(Projects[[#This Row],[Project Name]],"")</f>
        <v>PROJECT_FOXTROT</v>
      </c>
      <c r="B7" s="23" t="str">
        <f>_xlfn.XLOOKUP(A7,Projects!A:A,Projects!C:C,"")</f>
        <v>Initiating</v>
      </c>
      <c r="C7" s="28" t="str">
        <f>_xlfn.XLOOKUP(A7,Projects!A:A,Projects!D:D," ")</f>
        <v>Work in Progress</v>
      </c>
      <c r="D7" s="27">
        <f>_xlfn.XLOOKUP(A7,Projects!A:A,Projects!E:E," ")</f>
        <v>0.05</v>
      </c>
      <c r="E7" s="25" t="str">
        <f>_xlfn.XLOOKUP($A7,Projects!$A:$A,Projects!G:G," ")</f>
        <v>1 - Critical</v>
      </c>
      <c r="F7" s="26" t="str">
        <f>_xlfn.XLOOKUP($A7,Projects!$A:$A,Projects!H:H," ")</f>
        <v xml:space="preserve">2 PROJECT MANAGER </v>
      </c>
      <c r="G7" s="42" t="str">
        <f>_xlfn.XLOOKUP($A7,Projects!$A:$A,Projects!F:F," ")</f>
        <v>G</v>
      </c>
      <c r="H7" s="43" t="str">
        <f>_xlfn.XLOOKUP($A7,'RAG'!$A:$A,'RAG'!G:G," ")</f>
        <v>G</v>
      </c>
      <c r="I7" s="43" t="str">
        <f>_xlfn.XLOOKUP($A7,'RAG'!$A:$A,'RAG'!H:H," ")</f>
        <v>G</v>
      </c>
      <c r="J7" s="43" t="str">
        <f>_xlfn.XLOOKUP($A7,'RAG'!$A:$A,'RAG'!I:I," ")</f>
        <v>Y</v>
      </c>
      <c r="K7" s="43" t="str">
        <f>_xlfn.XLOOKUP($A7,'RAG'!$A:$A,'RAG'!K:K," ")</f>
        <v>G</v>
      </c>
      <c r="L7" s="40">
        <f>_xlfn.XLOOKUP(A7,Projects!A:A,Projects!M:M,"")</f>
        <v>46034</v>
      </c>
      <c r="M7" s="19" t="str">
        <f>TRIM(CLEAN(_xlfn.XLOOKUP($A7,'RAG'!$A:$A,'RAG'!J:J," ")))</f>
        <v>Lorem ipsum dolor sit amet, consectetur adipiscing elit.</v>
      </c>
      <c r="N7" s="19" t="str">
        <f>TRIM(CLEAN(_xlfn.XLOOKUP($A7,'RAG'!$A:$A,'RAG'!M:M," ")))</f>
        <v>Lorem ipsum dolor sit amet, consectetur adipiscing elit.</v>
      </c>
      <c r="O7" s="19" t="str">
        <f>TRIM(CLEAN(_xlfn.XLOOKUP($A7,'RAG'!$A:$A,'RAG'!O:O," ")))</f>
        <v>Lorem ipsum dolor sit amet, consectetur adipiscing elit.</v>
      </c>
      <c r="P7" s="19" t="str">
        <f>TRIM(CLEAN(_xlfn.XLOOKUP($A7,'RAG'!$A:$A,'RAG'!N:N," ")))</f>
        <v>Lorem ipsum dolor sit amet, consectetur adipiscing elit.</v>
      </c>
    </row>
    <row r="8" spans="1:16" ht="61.2" x14ac:dyDescent="0.3">
      <c r="A8" s="23" t="str">
        <f>IFERROR(Projects[[#This Row],[Project Name]],"")</f>
        <v>PROJECT_GOLF</v>
      </c>
      <c r="B8" s="23" t="str">
        <f>_xlfn.XLOOKUP(A8,Projects!A:A,Projects!C:C,"")</f>
        <v>Delivering</v>
      </c>
      <c r="C8" s="28" t="str">
        <f>_xlfn.XLOOKUP(A8,Projects!A:A,Projects!D:D," ")</f>
        <v>Work in Progress</v>
      </c>
      <c r="D8" s="27">
        <f>_xlfn.XLOOKUP(A8,Projects!A:A,Projects!E:E," ")</f>
        <v>0.28999999999999998</v>
      </c>
      <c r="E8" s="25" t="str">
        <f>_xlfn.XLOOKUP($A8,Projects!$A:$A,Projects!G:G," ")</f>
        <v>2 - High</v>
      </c>
      <c r="F8" s="26" t="str">
        <f>_xlfn.XLOOKUP($A8,Projects!$A:$A,Projects!H:H," ")</f>
        <v xml:space="preserve">3 PROJECT MANAGER </v>
      </c>
      <c r="G8" s="42" t="str">
        <f>_xlfn.XLOOKUP($A8,Projects!$A:$A,Projects!F:F," ")</f>
        <v>Y</v>
      </c>
      <c r="H8" s="43" t="str">
        <f>_xlfn.XLOOKUP($A8,'RAG'!$A:$A,'RAG'!G:G," ")</f>
        <v>G</v>
      </c>
      <c r="I8" s="43" t="str">
        <f>_xlfn.XLOOKUP($A8,'RAG'!$A:$A,'RAG'!H:H," ")</f>
        <v>G</v>
      </c>
      <c r="J8" s="43" t="str">
        <f>_xlfn.XLOOKUP($A8,'RAG'!$A:$A,'RAG'!I:I," ")</f>
        <v>Y</v>
      </c>
      <c r="K8" s="43" t="str">
        <f>_xlfn.XLOOKUP($A8,'RAG'!$A:$A,'RAG'!K:K," ")</f>
        <v>G</v>
      </c>
      <c r="L8" s="40">
        <f>_xlfn.XLOOKUP(A8,Projects!A:A,Projects!M:M,"")</f>
        <v>46022</v>
      </c>
      <c r="M8" s="19" t="str">
        <f>TRIM(CLEAN(_xlfn.XLOOKUP($A8,'RAG'!$A:$A,'RAG'!J:J," ")))</f>
        <v>Lorem ipsum dolor sit amet, consectetur adipiscing elit.</v>
      </c>
      <c r="N8" s="19" t="str">
        <f>TRIM(CLEAN(_xlfn.XLOOKUP($A8,'RAG'!$A:$A,'RAG'!M:M," ")))</f>
        <v>Lorem ipsum dolor sit amet, consectetur adipiscing elit.</v>
      </c>
      <c r="O8" s="19" t="str">
        <f>TRIM(CLEAN(_xlfn.XLOOKUP($A8,'RAG'!$A:$A,'RAG'!O:O," ")))</f>
        <v>Lorem ipsum dolor sit amet, consectetur adipiscing elit.</v>
      </c>
      <c r="P8" s="19" t="str">
        <f>TRIM(CLEAN(_xlfn.XLOOKUP($A8,'RAG'!$A:$A,'RAG'!N:N," ")))</f>
        <v>Lorem ipsum dolor sit amet, consectetur adipiscing elit.</v>
      </c>
    </row>
    <row r="9" spans="1:16" ht="30.6" x14ac:dyDescent="0.3">
      <c r="A9" s="23" t="str">
        <f>IFERROR(Projects[[#This Row],[Project Name]],"")</f>
        <v>PROJECT_HOTEL</v>
      </c>
      <c r="B9" s="23" t="str">
        <f>_xlfn.XLOOKUP(A9,Projects!A:A,Projects!C:C,"")</f>
        <v>Delivering</v>
      </c>
      <c r="C9" s="28" t="str">
        <f>_xlfn.XLOOKUP(A9,Projects!A:A,Projects!D:D," ")</f>
        <v>Work in Progress</v>
      </c>
      <c r="D9" s="27">
        <f>_xlfn.XLOOKUP(A9,Projects!A:A,Projects!E:E," ")</f>
        <v>0.85</v>
      </c>
      <c r="E9" s="25" t="str">
        <f>_xlfn.XLOOKUP($A9,Projects!$A:$A,Projects!G:G," ")</f>
        <v>2 - High</v>
      </c>
      <c r="F9" s="26" t="str">
        <f>_xlfn.XLOOKUP($A9,Projects!$A:$A,Projects!H:H," ")</f>
        <v xml:space="preserve">3 PROJECT MANAGER </v>
      </c>
      <c r="G9" s="42" t="str">
        <f>_xlfn.XLOOKUP($A9,Projects!$A:$A,Projects!F:F," ")</f>
        <v>Y</v>
      </c>
      <c r="H9" s="43" t="str">
        <f>_xlfn.XLOOKUP($A9,'RAG'!$A:$A,'RAG'!G:G," ")</f>
        <v>G</v>
      </c>
      <c r="I9" s="43" t="str">
        <f>_xlfn.XLOOKUP($A9,'RAG'!$A:$A,'RAG'!H:H," ")</f>
        <v>G</v>
      </c>
      <c r="J9" s="43" t="str">
        <f>_xlfn.XLOOKUP($A9,'RAG'!$A:$A,'RAG'!I:I," ")</f>
        <v>Y</v>
      </c>
      <c r="K9" s="43" t="str">
        <f>_xlfn.XLOOKUP($A9,'RAG'!$A:$A,'RAG'!K:K," ")</f>
        <v>G</v>
      </c>
      <c r="L9" s="40">
        <f>_xlfn.XLOOKUP(A9,Projects!A:A,Projects!M:M,"")</f>
        <v>45747</v>
      </c>
      <c r="M9" s="19" t="str">
        <f>TRIM(CLEAN(_xlfn.XLOOKUP($A9,'RAG'!$A:$A,'RAG'!J:J," ")))</f>
        <v>Lorem ipsum dolor sit amet, consectetur adipiscing elit.</v>
      </c>
      <c r="N9" s="19" t="str">
        <f>TRIM(CLEAN(_xlfn.XLOOKUP($A9,'RAG'!$A:$A,'RAG'!M:M," ")))</f>
        <v>Lorem ipsum dolor sit amet, consectetur adipiscing elit.</v>
      </c>
      <c r="O9" s="19" t="str">
        <f>TRIM(CLEAN(_xlfn.XLOOKUP($A9,'RAG'!$A:$A,'RAG'!O:O," ")))</f>
        <v>Lorem ipsum dolor sit amet, consectetur adipiscing elit.</v>
      </c>
      <c r="P9" s="19" t="str">
        <f>TRIM(CLEAN(_xlfn.XLOOKUP($A9,'RAG'!$A:$A,'RAG'!N:N," ")))</f>
        <v>Lorem ipsum dolor sit amet, consectetur adipiscing elit.</v>
      </c>
    </row>
    <row r="10" spans="1:16" ht="61.2" x14ac:dyDescent="0.3">
      <c r="A10" s="23" t="str">
        <f>IFERROR(Projects[[#This Row],[Project Name]],"")</f>
        <v>PROJECT_INDIA</v>
      </c>
      <c r="B10" s="23" t="str">
        <f>_xlfn.XLOOKUP(A10,Projects!A:A,Projects!C:C,"")</f>
        <v>Delivering</v>
      </c>
      <c r="C10" s="28" t="str">
        <f>_xlfn.XLOOKUP(A10,Projects!A:A,Projects!D:D," ")</f>
        <v>Work in Progress</v>
      </c>
      <c r="D10" s="27">
        <f>_xlfn.XLOOKUP(A10,Projects!A:A,Projects!E:E," ")</f>
        <v>0.43</v>
      </c>
      <c r="E10" s="25" t="str">
        <f>_xlfn.XLOOKUP($A10,Projects!$A:$A,Projects!G:G," ")</f>
        <v>2 - High</v>
      </c>
      <c r="F10" s="26" t="str">
        <f>_xlfn.XLOOKUP($A10,Projects!$A:$A,Projects!H:H," ")</f>
        <v xml:space="preserve">3 PROJECT MANAGER </v>
      </c>
      <c r="G10" s="42" t="str">
        <f>_xlfn.XLOOKUP($A10,Projects!$A:$A,Projects!F:F," ")</f>
        <v>Y</v>
      </c>
      <c r="H10" s="43" t="str">
        <f>_xlfn.XLOOKUP($A10,'RAG'!$A:$A,'RAG'!G:G," ")</f>
        <v>Y</v>
      </c>
      <c r="I10" s="43" t="str">
        <f>_xlfn.XLOOKUP($A10,'RAG'!$A:$A,'RAG'!H:H," ")</f>
        <v>G</v>
      </c>
      <c r="J10" s="43" t="str">
        <f>_xlfn.XLOOKUP($A10,'RAG'!$A:$A,'RAG'!I:I," ")</f>
        <v>R</v>
      </c>
      <c r="K10" s="43" t="str">
        <f>_xlfn.XLOOKUP($A10,'RAG'!$A:$A,'RAG'!K:K," ")</f>
        <v>G</v>
      </c>
      <c r="L10" s="40">
        <f>_xlfn.XLOOKUP(A10,Projects!A:A,Projects!M:M,"")</f>
        <v>45838</v>
      </c>
      <c r="M10" s="19" t="str">
        <f>TRIM(CLEAN(_xlfn.XLOOKUP($A10,'RAG'!$A:$A,'RAG'!J:J," ")))</f>
        <v>Lorem ipsum dolor sit amet, consectetur adipiscing elit.</v>
      </c>
      <c r="N10" s="19" t="str">
        <f>TRIM(CLEAN(_xlfn.XLOOKUP($A10,'RAG'!$A:$A,'RAG'!M:M," ")))</f>
        <v>Lorem ipsum dolor sit amet, consectetur adipiscing elit.</v>
      </c>
      <c r="O10" s="19" t="str">
        <f>TRIM(CLEAN(_xlfn.XLOOKUP($A10,'RAG'!$A:$A,'RAG'!O:O," ")))</f>
        <v>Lorem ipsum dolor sit amet, consectetur adipiscing elit.</v>
      </c>
      <c r="P10" s="19" t="str">
        <f>TRIM(CLEAN(_xlfn.XLOOKUP($A10,'RAG'!$A:$A,'RAG'!N:N," ")))</f>
        <v>Lorem ipsum dolor sit amet, consectetur adipiscing elit.</v>
      </c>
    </row>
    <row r="11" spans="1:16" ht="51" x14ac:dyDescent="0.3">
      <c r="A11" s="23" t="str">
        <f>IFERROR(Projects[[#This Row],[Project Name]],"")</f>
        <v>PROJECT_JULIET</v>
      </c>
      <c r="B11" s="23" t="str">
        <f>_xlfn.XLOOKUP(A11,Projects!A:A,Projects!C:C,"")</f>
        <v>Delivering</v>
      </c>
      <c r="C11" s="28" t="str">
        <f>_xlfn.XLOOKUP(A11,Projects!A:A,Projects!D:D," ")</f>
        <v>Work in Progress</v>
      </c>
      <c r="D11" s="27">
        <f>_xlfn.XLOOKUP(A11,Projects!A:A,Projects!E:E," ")</f>
        <v>0.28999999999999998</v>
      </c>
      <c r="E11" s="25" t="str">
        <f>_xlfn.XLOOKUP($A11,Projects!$A:$A,Projects!G:G," ")</f>
        <v>2 - High</v>
      </c>
      <c r="F11" s="26" t="str">
        <f>_xlfn.XLOOKUP($A11,Projects!$A:$A,Projects!H:H," ")</f>
        <v xml:space="preserve">3 PROJECT MANAGER </v>
      </c>
      <c r="G11" s="42" t="str">
        <f>_xlfn.XLOOKUP($A11,Projects!$A:$A,Projects!F:F," ")</f>
        <v>Y</v>
      </c>
      <c r="H11" s="43" t="str">
        <f>_xlfn.XLOOKUP($A11,'RAG'!$A:$A,'RAG'!G:G," ")</f>
        <v>G</v>
      </c>
      <c r="I11" s="43" t="str">
        <f>_xlfn.XLOOKUP($A11,'RAG'!$A:$A,'RAG'!H:H," ")</f>
        <v>G</v>
      </c>
      <c r="J11" s="43" t="str">
        <f>_xlfn.XLOOKUP($A11,'RAG'!$A:$A,'RAG'!I:I," ")</f>
        <v>R</v>
      </c>
      <c r="K11" s="43" t="str">
        <f>_xlfn.XLOOKUP($A11,'RAG'!$A:$A,'RAG'!K:K," ")</f>
        <v>G</v>
      </c>
      <c r="L11" s="40">
        <f>_xlfn.XLOOKUP(A11,Projects!A:A,Projects!M:M,"")</f>
        <v>46053</v>
      </c>
      <c r="M11" s="19" t="str">
        <f>TRIM(CLEAN(_xlfn.XLOOKUP($A11,'RAG'!$A:$A,'RAG'!J:J," ")))</f>
        <v>Lorem ipsum dolor sit amet, consectetur adipiscing elit.</v>
      </c>
      <c r="N11" s="19" t="str">
        <f>TRIM(CLEAN(_xlfn.XLOOKUP($A11,'RAG'!$A:$A,'RAG'!M:M," ")))</f>
        <v>Lorem ipsum dolor sit amet, consectetur adipiscing elit.</v>
      </c>
      <c r="O11" s="19" t="str">
        <f>TRIM(CLEAN(_xlfn.XLOOKUP($A11,'RAG'!$A:$A,'RAG'!O:O," ")))</f>
        <v>Lorem ipsum dolor sit amet, consectetur adipiscing elit.</v>
      </c>
      <c r="P11" s="19" t="str">
        <f>TRIM(CLEAN(_xlfn.XLOOKUP($A11,'RAG'!$A:$A,'RAG'!N:N," ")))</f>
        <v>Lorem ipsum dolor sit amet, consectetur adipiscing elit.</v>
      </c>
    </row>
    <row r="12" spans="1:16" ht="30.6" x14ac:dyDescent="0.3">
      <c r="A12" s="23" t="str">
        <f>IFERROR(Projects[[#This Row],[Project Name]],"")</f>
        <v>PROJECT_KILO</v>
      </c>
      <c r="B12" s="23" t="str">
        <f>_xlfn.XLOOKUP(A12,Projects!A:A,Projects!C:C,"")</f>
        <v>Delivering</v>
      </c>
      <c r="C12" s="28" t="str">
        <f>_xlfn.XLOOKUP(A12,Projects!A:A,Projects!D:D," ")</f>
        <v>Work in Progress</v>
      </c>
      <c r="D12" s="27">
        <f>_xlfn.XLOOKUP(A12,Projects!A:A,Projects!E:E," ")</f>
        <v>0.12</v>
      </c>
      <c r="E12" s="25" t="str">
        <f>_xlfn.XLOOKUP($A12,Projects!$A:$A,Projects!G:G," ")</f>
        <v>3 - Moderate</v>
      </c>
      <c r="F12" s="26" t="str">
        <f>_xlfn.XLOOKUP($A12,Projects!$A:$A,Projects!H:H," ")</f>
        <v xml:space="preserve">3 PROJECT MANAGER </v>
      </c>
      <c r="G12" s="42" t="str">
        <f>_xlfn.XLOOKUP($A12,Projects!$A:$A,Projects!F:F," ")</f>
        <v>G</v>
      </c>
      <c r="H12" s="43" t="str">
        <f>_xlfn.XLOOKUP($A12,'RAG'!$A:$A,'RAG'!G:G," ")</f>
        <v>G</v>
      </c>
      <c r="I12" s="43" t="str">
        <f>_xlfn.XLOOKUP($A12,'RAG'!$A:$A,'RAG'!H:H," ")</f>
        <v>G</v>
      </c>
      <c r="J12" s="43" t="str">
        <f>_xlfn.XLOOKUP($A12,'RAG'!$A:$A,'RAG'!I:I," ")</f>
        <v>Y</v>
      </c>
      <c r="K12" s="43" t="str">
        <f>_xlfn.XLOOKUP($A12,'RAG'!$A:$A,'RAG'!K:K," ")</f>
        <v>G</v>
      </c>
      <c r="L12" s="40">
        <f>_xlfn.XLOOKUP(A12,Projects!A:A,Projects!M:M,"")</f>
        <v>45930</v>
      </c>
      <c r="M12" s="19" t="str">
        <f>TRIM(CLEAN(_xlfn.XLOOKUP($A12,'RAG'!$A:$A,'RAG'!J:J," ")))</f>
        <v>Lorem ipsum dolor sit amet, consectetur adipiscing elit.</v>
      </c>
      <c r="N12" s="19" t="str">
        <f>TRIM(CLEAN(_xlfn.XLOOKUP($A12,'RAG'!$A:$A,'RAG'!M:M," ")))</f>
        <v>Lorem ipsum dolor sit amet, consectetur adipiscing elit.</v>
      </c>
      <c r="O12" s="19" t="str">
        <f>TRIM(CLEAN(_xlfn.XLOOKUP($A12,'RAG'!$A:$A,'RAG'!O:O," ")))</f>
        <v>Lorem ipsum dolor sit amet, consectetur adipiscing elit.</v>
      </c>
      <c r="P12" s="19" t="str">
        <f>TRIM(CLEAN(_xlfn.XLOOKUP($A12,'RAG'!$A:$A,'RAG'!N:N," ")))</f>
        <v>Lorem ipsum dolor sit amet, consectetur adipiscing elit.</v>
      </c>
    </row>
    <row r="13" spans="1:16" ht="20.399999999999999" x14ac:dyDescent="0.3">
      <c r="A13" s="23" t="str">
        <f>IFERROR(Projects[[#This Row],[Project Name]],"")</f>
        <v>PROJECT_LIMA</v>
      </c>
      <c r="B13" s="23" t="str">
        <f>_xlfn.XLOOKUP(A13,Projects!A:A,Projects!C:C,"")</f>
        <v>Delivering</v>
      </c>
      <c r="C13" s="28" t="str">
        <f>_xlfn.XLOOKUP(A13,Projects!A:A,Projects!D:D," ")</f>
        <v>Work in Progress</v>
      </c>
      <c r="D13" s="27">
        <f>_xlfn.XLOOKUP(A13,Projects!A:A,Projects!E:E," ")</f>
        <v>0.8</v>
      </c>
      <c r="E13" s="25" t="str">
        <f>_xlfn.XLOOKUP($A13,Projects!$A:$A,Projects!G:G," ")</f>
        <v>3 - Moderate</v>
      </c>
      <c r="F13" s="26" t="str">
        <f>_xlfn.XLOOKUP($A13,Projects!$A:$A,Projects!H:H," ")</f>
        <v xml:space="preserve">4 PROJECT MANAGER </v>
      </c>
      <c r="G13" s="42" t="str">
        <f>_xlfn.XLOOKUP($A13,Projects!$A:$A,Projects!F:F," ")</f>
        <v>G</v>
      </c>
      <c r="H13" s="43" t="str">
        <f>_xlfn.XLOOKUP($A13,'RAG'!$A:$A,'RAG'!G:G," ")</f>
        <v>G</v>
      </c>
      <c r="I13" s="43" t="str">
        <f>_xlfn.XLOOKUP($A13,'RAG'!$A:$A,'RAG'!H:H," ")</f>
        <v>G</v>
      </c>
      <c r="J13" s="43" t="str">
        <f>_xlfn.XLOOKUP($A13,'RAG'!$A:$A,'RAG'!I:I," ")</f>
        <v>Y</v>
      </c>
      <c r="K13" s="43" t="str">
        <f>_xlfn.XLOOKUP($A13,'RAG'!$A:$A,'RAG'!K:K," ")</f>
        <v>G</v>
      </c>
      <c r="L13" s="40">
        <f>_xlfn.XLOOKUP(A13,Projects!A:A,Projects!M:M,"")</f>
        <v>45808</v>
      </c>
      <c r="M13" s="19" t="str">
        <f>TRIM(CLEAN(_xlfn.XLOOKUP($A13,'RAG'!$A:$A,'RAG'!J:J," ")))</f>
        <v>Lorem ipsum dolor sit amet, consectetur adipiscing elit.</v>
      </c>
      <c r="N13" s="19" t="str">
        <f>TRIM(CLEAN(_xlfn.XLOOKUP($A13,'RAG'!$A:$A,'RAG'!M:M," ")))</f>
        <v>Lorem ipsum dolor sit amet, consectetur adipiscing elit.</v>
      </c>
      <c r="O13" s="19" t="str">
        <f>TRIM(CLEAN(_xlfn.XLOOKUP($A13,'RAG'!$A:$A,'RAG'!O:O," ")))</f>
        <v>Lorem ipsum dolor sit amet, consectetur adipiscing elit.</v>
      </c>
      <c r="P13" s="19" t="str">
        <f>TRIM(CLEAN(_xlfn.XLOOKUP($A13,'RAG'!$A:$A,'RAG'!N:N," ")))</f>
        <v>Lorem ipsum dolor sit amet, consectetur adipiscing elit.</v>
      </c>
    </row>
    <row r="14" spans="1:16" ht="20.399999999999999" x14ac:dyDescent="0.3">
      <c r="A14" s="23" t="str">
        <f>IFERROR(Projects[[#This Row],[Project Name]],"")</f>
        <v>PROJECT_MIKE</v>
      </c>
      <c r="B14" s="23" t="str">
        <f>_xlfn.XLOOKUP(A14,Projects!A:A,Projects!C:C,"")</f>
        <v>Delivering</v>
      </c>
      <c r="C14" s="28" t="str">
        <f>_xlfn.XLOOKUP(A14,Projects!A:A,Projects!D:D," ")</f>
        <v>Work in Progress</v>
      </c>
      <c r="D14" s="27">
        <f>_xlfn.XLOOKUP(A14,Projects!A:A,Projects!E:E," ")</f>
        <v>0.96030000000000004</v>
      </c>
      <c r="E14" s="25" t="str">
        <f>_xlfn.XLOOKUP($A14,Projects!$A:$A,Projects!G:G," ")</f>
        <v>4 - Low</v>
      </c>
      <c r="F14" s="26" t="str">
        <f>_xlfn.XLOOKUP($A14,Projects!$A:$A,Projects!H:H," ")</f>
        <v xml:space="preserve">4 PROJECT MANAGER </v>
      </c>
      <c r="G14" s="42" t="str">
        <f>_xlfn.XLOOKUP($A14,Projects!$A:$A,Projects!F:F," ")</f>
        <v>G</v>
      </c>
      <c r="H14" s="43" t="str">
        <f>_xlfn.XLOOKUP($A14,'RAG'!$A:$A,'RAG'!G:G," ")</f>
        <v>G</v>
      </c>
      <c r="I14" s="43" t="str">
        <f>_xlfn.XLOOKUP($A14,'RAG'!$A:$A,'RAG'!H:H," ")</f>
        <v>G</v>
      </c>
      <c r="J14" s="43" t="str">
        <f>_xlfn.XLOOKUP($A14,'RAG'!$A:$A,'RAG'!I:I," ")</f>
        <v>Y</v>
      </c>
      <c r="K14" s="43" t="str">
        <f>_xlfn.XLOOKUP($A14,'RAG'!$A:$A,'RAG'!K:K," ")</f>
        <v>G</v>
      </c>
      <c r="L14" s="40">
        <f>_xlfn.XLOOKUP(A14,Projects!A:A,Projects!M:M,"")</f>
        <v>45747</v>
      </c>
      <c r="M14" s="19" t="str">
        <f>TRIM(CLEAN(_xlfn.XLOOKUP($A14,'RAG'!$A:$A,'RAG'!J:J," ")))</f>
        <v>Lorem ipsum dolor sit amet, consectetur adipiscing elit.</v>
      </c>
      <c r="N14" s="19" t="str">
        <f>TRIM(CLEAN(_xlfn.XLOOKUP($A14,'RAG'!$A:$A,'RAG'!M:M," ")))</f>
        <v>Lorem ipsum dolor sit amet, consectetur adipiscing elit.</v>
      </c>
      <c r="O14" s="19" t="str">
        <f>TRIM(CLEAN(_xlfn.XLOOKUP($A14,'RAG'!$A:$A,'RAG'!O:O," ")))</f>
        <v>Lorem ipsum dolor sit amet, consectetur adipiscing elit.</v>
      </c>
      <c r="P14" s="19" t="str">
        <f>TRIM(CLEAN(_xlfn.XLOOKUP($A14,'RAG'!$A:$A,'RAG'!N:N," ")))</f>
        <v>Lorem ipsum dolor sit amet, consectetur adipiscing elit.</v>
      </c>
    </row>
    <row r="15" spans="1:16" ht="20.399999999999999" x14ac:dyDescent="0.3">
      <c r="A15" s="23" t="str">
        <f>IFERROR(Projects[[#This Row],[Project Name]],"")</f>
        <v>PROJECT_NOVEMBER</v>
      </c>
      <c r="B15" s="23" t="str">
        <f>_xlfn.XLOOKUP(A15,Projects!A:A,Projects!C:C,"")</f>
        <v>Closing</v>
      </c>
      <c r="C15" s="28" t="str">
        <f>_xlfn.XLOOKUP(A15,Projects!A:A,Projects!D:D," ")</f>
        <v>Work in Progress</v>
      </c>
      <c r="D15" s="27">
        <f>_xlfn.XLOOKUP(A15,Projects!A:A,Projects!E:E," ")</f>
        <v>0.99</v>
      </c>
      <c r="E15" s="25" t="str">
        <f>_xlfn.XLOOKUP($A15,Projects!$A:$A,Projects!G:G," ")</f>
        <v>4 - Low</v>
      </c>
      <c r="F15" s="26" t="str">
        <f>_xlfn.XLOOKUP($A15,Projects!$A:$A,Projects!H:H," ")</f>
        <v xml:space="preserve">2 PROJECT MANAGER </v>
      </c>
      <c r="G15" s="42" t="str">
        <f>_xlfn.XLOOKUP($A15,Projects!$A:$A,Projects!F:F," ")</f>
        <v>G</v>
      </c>
      <c r="H15" s="43" t="str">
        <f>_xlfn.XLOOKUP($A15,'RAG'!$A:$A,'RAG'!G:G," ")</f>
        <v>G</v>
      </c>
      <c r="I15" s="43" t="str">
        <f>_xlfn.XLOOKUP($A15,'RAG'!$A:$A,'RAG'!H:H," ")</f>
        <v>G</v>
      </c>
      <c r="J15" s="43" t="str">
        <f>_xlfn.XLOOKUP($A15,'RAG'!$A:$A,'RAG'!I:I," ")</f>
        <v>Y</v>
      </c>
      <c r="K15" s="43" t="str">
        <f>_xlfn.XLOOKUP($A15,'RAG'!$A:$A,'RAG'!K:K," ")</f>
        <v>G</v>
      </c>
      <c r="L15" s="40">
        <f>_xlfn.XLOOKUP(A15,Projects!A:A,Projects!M:M,"")</f>
        <v>45716</v>
      </c>
      <c r="M15" s="19" t="str">
        <f>TRIM(CLEAN(_xlfn.XLOOKUP($A15,'RAG'!$A:$A,'RAG'!J:J," ")))</f>
        <v>Lorem ipsum dolor sit amet, consectetur adipiscing elit.</v>
      </c>
      <c r="N15" s="19" t="str">
        <f>TRIM(CLEAN(_xlfn.XLOOKUP($A15,'RAG'!$A:$A,'RAG'!M:M," ")))</f>
        <v>Lorem ipsum dolor sit amet, consectetur adipiscing elit.</v>
      </c>
      <c r="O15" s="19" t="str">
        <f>TRIM(CLEAN(_xlfn.XLOOKUP($A15,'RAG'!$A:$A,'RAG'!O:O," ")))</f>
        <v>Lorem ipsum dolor sit amet, consectetur adipiscing elit.</v>
      </c>
      <c r="P15" s="19" t="str">
        <f>TRIM(CLEAN(_xlfn.XLOOKUP($A15,'RAG'!$A:$A,'RAG'!N:N," ")))</f>
        <v>Lorem ipsum dolor sit amet, consectetur adipiscing elit.</v>
      </c>
    </row>
    <row r="16" spans="1:16" ht="20.399999999999999" x14ac:dyDescent="0.3">
      <c r="A16" s="23" t="str">
        <f>IFERROR(Projects[[#This Row],[Project Name]],"")</f>
        <v>PROJECT_OSCAR</v>
      </c>
      <c r="B16" s="23" t="str">
        <f>_xlfn.XLOOKUP(A16,Projects!A:A,Projects!C:C,"")</f>
        <v>Initiating</v>
      </c>
      <c r="C16" s="28" t="str">
        <f>_xlfn.XLOOKUP(A16,Projects!A:A,Projects!D:D," ")</f>
        <v>Pending</v>
      </c>
      <c r="D16" s="27">
        <f>_xlfn.XLOOKUP(A16,Projects!A:A,Projects!E:E," ")</f>
        <v>0</v>
      </c>
      <c r="E16" s="25" t="str">
        <f>_xlfn.XLOOKUP($A16,Projects!$A:$A,Projects!G:G," ")</f>
        <v>4 - Low</v>
      </c>
      <c r="F16" s="26" t="str">
        <f>_xlfn.XLOOKUP($A16,Projects!$A:$A,Projects!H:H," ")</f>
        <v xml:space="preserve">4 PROJECT MANAGER </v>
      </c>
      <c r="G16" s="42" t="str">
        <f>_xlfn.XLOOKUP($A16,Projects!$A:$A,Projects!F:F," ")</f>
        <v>G</v>
      </c>
      <c r="H16" s="43" t="str">
        <f>_xlfn.XLOOKUP($A16,'RAG'!$A:$A,'RAG'!G:G," ")</f>
        <v>G</v>
      </c>
      <c r="I16" s="43" t="str">
        <f>_xlfn.XLOOKUP($A16,'RAG'!$A:$A,'RAG'!H:H," ")</f>
        <v>G</v>
      </c>
      <c r="J16" s="43" t="str">
        <f>_xlfn.XLOOKUP($A16,'RAG'!$A:$A,'RAG'!I:I," ")</f>
        <v>R</v>
      </c>
      <c r="K16" s="43" t="str">
        <f>_xlfn.XLOOKUP($A16,'RAG'!$A:$A,'RAG'!K:K," ")</f>
        <v>G</v>
      </c>
      <c r="L16" s="40">
        <f>_xlfn.XLOOKUP(A16,Projects!A:A,Projects!M:M,"")</f>
        <v>45064</v>
      </c>
      <c r="M16" s="19" t="str">
        <f>TRIM(CLEAN(_xlfn.XLOOKUP($A16,'RAG'!$A:$A,'RAG'!J:J," ")))</f>
        <v>Lorem ipsum dolor sit amet, consectetur adipiscing elit.</v>
      </c>
      <c r="N16" s="19" t="str">
        <f>TRIM(CLEAN(_xlfn.XLOOKUP($A16,'RAG'!$A:$A,'RAG'!M:M," ")))</f>
        <v>Lorem ipsum dolor sit amet, consectetur adipiscing elit.</v>
      </c>
      <c r="O16" s="19" t="str">
        <f>TRIM(CLEAN(_xlfn.XLOOKUP($A16,'RAG'!$A:$A,'RAG'!O:O," ")))</f>
        <v>Lorem ipsum dolor sit amet, consectetur adipiscing elit.</v>
      </c>
      <c r="P16" s="19" t="str">
        <f>TRIM(CLEAN(_xlfn.XLOOKUP($A16,'RAG'!$A:$A,'RAG'!N:N," ")))</f>
        <v>Lorem ipsum dolor sit amet, consectetur adipiscing elit.</v>
      </c>
    </row>
    <row r="17" spans="1:16" ht="20.399999999999999" x14ac:dyDescent="0.3">
      <c r="A17" s="23" t="str">
        <f>IFERROR(Projects[[#This Row],[Project Name]],"")</f>
        <v>PROJECT_PAPA</v>
      </c>
      <c r="B17" s="23" t="str">
        <f>_xlfn.XLOOKUP(A17,Projects!A:A,Projects!C:C,"")</f>
        <v>Closing</v>
      </c>
      <c r="C17" s="28" t="str">
        <f>_xlfn.XLOOKUP(A17,Projects!A:A,Projects!D:D," ")</f>
        <v>Work in Progress</v>
      </c>
      <c r="D17" s="27">
        <f>_xlfn.XLOOKUP(A17,Projects!A:A,Projects!E:E," ")</f>
        <v>0.86539999999999995</v>
      </c>
      <c r="E17" s="25" t="str">
        <f>_xlfn.XLOOKUP($A17,Projects!$A:$A,Projects!G:G," ")</f>
        <v>4 - Low</v>
      </c>
      <c r="F17" s="26" t="str">
        <f>_xlfn.XLOOKUP($A17,Projects!$A:$A,Projects!H:H," ")</f>
        <v xml:space="preserve">1 PROJECT MANAGER </v>
      </c>
      <c r="G17" s="42" t="str">
        <f>_xlfn.XLOOKUP($A17,Projects!$A:$A,Projects!F:F," ")</f>
        <v>Y</v>
      </c>
      <c r="H17" s="43" t="str">
        <f>_xlfn.XLOOKUP($A17,'RAG'!$A:$A,'RAG'!G:G," ")</f>
        <v>G</v>
      </c>
      <c r="I17" s="43" t="str">
        <f>_xlfn.XLOOKUP($A17,'RAG'!$A:$A,'RAG'!H:H," ")</f>
        <v>G</v>
      </c>
      <c r="J17" s="43" t="str">
        <f>_xlfn.XLOOKUP($A17,'RAG'!$A:$A,'RAG'!I:I," ")</f>
        <v>Y</v>
      </c>
      <c r="K17" s="43" t="str">
        <f>_xlfn.XLOOKUP($A17,'RAG'!$A:$A,'RAG'!K:K," ")</f>
        <v>G</v>
      </c>
      <c r="L17" s="40">
        <f>_xlfn.XLOOKUP(A17,Projects!A:A,Projects!M:M,"")</f>
        <v>45747</v>
      </c>
      <c r="M17" s="19" t="str">
        <f>TRIM(CLEAN(_xlfn.XLOOKUP($A17,'RAG'!$A:$A,'RAG'!J:J," ")))</f>
        <v>Lorem ipsum dolor sit amet, consectetur adipiscing elit.</v>
      </c>
      <c r="N17" s="19" t="str">
        <f>TRIM(CLEAN(_xlfn.XLOOKUP($A17,'RAG'!$A:$A,'RAG'!M:M," ")))</f>
        <v>Lorem ipsum dolor sit amet, consectetur adipiscing elit.</v>
      </c>
      <c r="O17" s="19" t="str">
        <f>TRIM(CLEAN(_xlfn.XLOOKUP($A17,'RAG'!$A:$A,'RAG'!O:O," ")))</f>
        <v>Lorem ipsum dolor sit amet, consectetur adipiscing elit.</v>
      </c>
      <c r="P17" s="19" t="str">
        <f>TRIM(CLEAN(_xlfn.XLOOKUP($A17,'RAG'!$A:$A,'RAG'!N:N," ")))</f>
        <v>Lorem ipsum dolor sit amet, consectetur adipiscing elit.</v>
      </c>
    </row>
    <row r="18" spans="1:16" ht="20.399999999999999" x14ac:dyDescent="0.3">
      <c r="A18" s="23" t="str">
        <f>IFERROR(Projects[[#This Row],[Project Name]],"")</f>
        <v>PROJECT_QUEBEC</v>
      </c>
      <c r="B18" s="23" t="str">
        <f>_xlfn.XLOOKUP(A18,Projects!A:A,Projects!C:C,"")</f>
        <v>Closing</v>
      </c>
      <c r="C18" s="28" t="str">
        <f>_xlfn.XLOOKUP(A18,Projects!A:A,Projects!D:D," ")</f>
        <v>Work in Progress</v>
      </c>
      <c r="D18" s="27">
        <f>_xlfn.XLOOKUP(A18,Projects!A:A,Projects!E:E," ")</f>
        <v>0.99709999999999999</v>
      </c>
      <c r="E18" s="25" t="str">
        <f>_xlfn.XLOOKUP($A18,Projects!$A:$A,Projects!G:G," ")</f>
        <v>4 - Low</v>
      </c>
      <c r="F18" s="26" t="str">
        <f>_xlfn.XLOOKUP($A18,Projects!$A:$A,Projects!H:H," ")</f>
        <v xml:space="preserve">1 PROJECT MANAGER </v>
      </c>
      <c r="G18" s="42" t="str">
        <f>_xlfn.XLOOKUP($A18,Projects!$A:$A,Projects!F:F," ")</f>
        <v>Y</v>
      </c>
      <c r="H18" s="43" t="str">
        <f>_xlfn.XLOOKUP($A18,'RAG'!$A:$A,'RAG'!G:G," ")</f>
        <v>G</v>
      </c>
      <c r="I18" s="43" t="str">
        <f>_xlfn.XLOOKUP($A18,'RAG'!$A:$A,'RAG'!H:H," ")</f>
        <v>G</v>
      </c>
      <c r="J18" s="43" t="str">
        <f>_xlfn.XLOOKUP($A18,'RAG'!$A:$A,'RAG'!I:I," ")</f>
        <v>Y</v>
      </c>
      <c r="K18" s="43" t="str">
        <f>_xlfn.XLOOKUP($A18,'RAG'!$A:$A,'RAG'!K:K," ")</f>
        <v>G</v>
      </c>
      <c r="L18" s="40">
        <f>_xlfn.XLOOKUP(A18,Projects!A:A,Projects!M:M,"")</f>
        <v>45747</v>
      </c>
      <c r="M18" s="19" t="str">
        <f>TRIM(CLEAN(_xlfn.XLOOKUP($A18,'RAG'!$A:$A,'RAG'!J:J," ")))</f>
        <v>Lorem ipsum dolor sit amet, consectetur adipiscing elit.</v>
      </c>
      <c r="N18" s="19" t="str">
        <f>TRIM(CLEAN(_xlfn.XLOOKUP($A18,'RAG'!$A:$A,'RAG'!M:M," ")))</f>
        <v>Lorem ipsum dolor sit amet, consectetur adipiscing elit.</v>
      </c>
      <c r="O18" s="19" t="str">
        <f>TRIM(CLEAN(_xlfn.XLOOKUP($A18,'RAG'!$A:$A,'RAG'!O:O," ")))</f>
        <v>Lorem ipsum dolor sit amet, consectetur adipiscing elit.</v>
      </c>
      <c r="P18" s="19" t="str">
        <f>TRIM(CLEAN(_xlfn.XLOOKUP($A18,'RAG'!$A:$A,'RAG'!N:N," ")))</f>
        <v>Lorem ipsum dolor sit amet, consectetur adipiscing elit.</v>
      </c>
    </row>
    <row r="19" spans="1:16" ht="20.399999999999999" x14ac:dyDescent="0.3">
      <c r="A19" s="23" t="str">
        <f>IFERROR(Projects[[#This Row],[Project Name]],"")</f>
        <v>PROJECT_ROMEO</v>
      </c>
      <c r="B19" s="23" t="str">
        <f>_xlfn.XLOOKUP(A19,Projects!A:A,Projects!C:C,"")</f>
        <v>Delivering</v>
      </c>
      <c r="C19" s="28" t="str">
        <f>_xlfn.XLOOKUP(A19,Projects!A:A,Projects!D:D," ")</f>
        <v>Work in Progress</v>
      </c>
      <c r="D19" s="27">
        <f>_xlfn.XLOOKUP(A19,Projects!A:A,Projects!E:E," ")</f>
        <v>0.996</v>
      </c>
      <c r="E19" s="25" t="str">
        <f>_xlfn.XLOOKUP($A19,Projects!$A:$A,Projects!G:G," ")</f>
        <v>4 - Low</v>
      </c>
      <c r="F19" s="26" t="str">
        <f>_xlfn.XLOOKUP($A19,Projects!$A:$A,Projects!H:H," ")</f>
        <v xml:space="preserve">1 PROJECT MANAGER </v>
      </c>
      <c r="G19" s="42" t="str">
        <f>_xlfn.XLOOKUP($A19,Projects!$A:$A,Projects!F:F," ")</f>
        <v>Y</v>
      </c>
      <c r="H19" s="43" t="str">
        <f>_xlfn.XLOOKUP($A19,'RAG'!$A:$A,'RAG'!G:G," ")</f>
        <v>Y</v>
      </c>
      <c r="I19" s="43" t="str">
        <f>_xlfn.XLOOKUP($A19,'RAG'!$A:$A,'RAG'!H:H," ")</f>
        <v>G</v>
      </c>
      <c r="J19" s="43" t="str">
        <f>_xlfn.XLOOKUP($A19,'RAG'!$A:$A,'RAG'!I:I," ")</f>
        <v>R</v>
      </c>
      <c r="K19" s="43" t="str">
        <f>_xlfn.XLOOKUP($A19,'RAG'!$A:$A,'RAG'!K:K," ")</f>
        <v>G</v>
      </c>
      <c r="L19" s="40">
        <f>_xlfn.XLOOKUP(A19,Projects!A:A,Projects!M:M,"")</f>
        <v>45747</v>
      </c>
      <c r="M19" s="19" t="str">
        <f>TRIM(CLEAN(_xlfn.XLOOKUP($A19,'RAG'!$A:$A,'RAG'!J:J," ")))</f>
        <v>Lorem ipsum dolor sit amet, consectetur adipiscing elit.</v>
      </c>
      <c r="N19" s="19" t="str">
        <f>TRIM(CLEAN(_xlfn.XLOOKUP($A19,'RAG'!$A:$A,'RAG'!M:M," ")))</f>
        <v>Lorem ipsum dolor sit amet, consectetur adipiscing elit.</v>
      </c>
      <c r="O19" s="19" t="str">
        <f>TRIM(CLEAN(_xlfn.XLOOKUP($A19,'RAG'!$A:$A,'RAG'!O:O," ")))</f>
        <v>Lorem ipsum dolor sit amet, consectetur adipiscing elit.</v>
      </c>
      <c r="P19" s="19" t="str">
        <f>TRIM(CLEAN(_xlfn.XLOOKUP($A19,'RAG'!$A:$A,'RAG'!N:N," ")))</f>
        <v>Lorem ipsum dolor sit amet, consectetur adipiscing elit.</v>
      </c>
    </row>
    <row r="20" spans="1:16" ht="20.399999999999999" x14ac:dyDescent="0.3">
      <c r="A20" s="23" t="str">
        <f>IFERROR(Projects[[#This Row],[Project Name]],"")</f>
        <v>PROJECT_SIERRA</v>
      </c>
      <c r="B20" s="23" t="str">
        <f>_xlfn.XLOOKUP(A20,Projects!A:A,Projects!C:C,"")</f>
        <v>Closing</v>
      </c>
      <c r="C20" s="28" t="str">
        <f>_xlfn.XLOOKUP(A20,Projects!A:A,Projects!D:D," ")</f>
        <v>Work in Progress</v>
      </c>
      <c r="D20" s="27">
        <f>_xlfn.XLOOKUP(A20,Projects!A:A,Projects!E:E," ")</f>
        <v>0.99319999999999997</v>
      </c>
      <c r="E20" s="25" t="str">
        <f>_xlfn.XLOOKUP($A20,Projects!$A:$A,Projects!G:G," ")</f>
        <v>4 - Low</v>
      </c>
      <c r="F20" s="26" t="str">
        <f>_xlfn.XLOOKUP($A20,Projects!$A:$A,Projects!H:H," ")</f>
        <v xml:space="preserve">1 PROJECT MANAGER </v>
      </c>
      <c r="G20" s="42" t="str">
        <f>_xlfn.XLOOKUP($A20,Projects!$A:$A,Projects!F:F," ")</f>
        <v>Y</v>
      </c>
      <c r="H20" s="43" t="str">
        <f>_xlfn.XLOOKUP($A20,'RAG'!$A:$A,'RAG'!G:G," ")</f>
        <v>G</v>
      </c>
      <c r="I20" s="43" t="str">
        <f>_xlfn.XLOOKUP($A20,'RAG'!$A:$A,'RAG'!H:H," ")</f>
        <v>G</v>
      </c>
      <c r="J20" s="43" t="str">
        <f>_xlfn.XLOOKUP($A20,'RAG'!$A:$A,'RAG'!I:I," ")</f>
        <v>Y</v>
      </c>
      <c r="K20" s="43" t="str">
        <f>_xlfn.XLOOKUP($A20,'RAG'!$A:$A,'RAG'!K:K," ")</f>
        <v>G</v>
      </c>
      <c r="L20" s="40">
        <f>_xlfn.XLOOKUP(A20,Projects!A:A,Projects!M:M,"")</f>
        <v>45747</v>
      </c>
      <c r="M20" s="19" t="str">
        <f>TRIM(CLEAN(_xlfn.XLOOKUP($A20,'RAG'!$A:$A,'RAG'!J:J," ")))</f>
        <v>Lorem ipsum dolor sit amet, consectetur adipiscing elit.</v>
      </c>
      <c r="N20" s="19" t="str">
        <f>TRIM(CLEAN(_xlfn.XLOOKUP($A20,'RAG'!$A:$A,'RAG'!M:M," ")))</f>
        <v>Lorem ipsum dolor sit amet, consectetur adipiscing elit.</v>
      </c>
      <c r="O20" s="19" t="str">
        <f>TRIM(CLEAN(_xlfn.XLOOKUP($A20,'RAG'!$A:$A,'RAG'!O:O," ")))</f>
        <v>Lorem ipsum dolor sit amet, consectetur adipiscing elit.</v>
      </c>
      <c r="P20" s="19" t="str">
        <f>TRIM(CLEAN(_xlfn.XLOOKUP($A20,'RAG'!$A:$A,'RAG'!N:N," ")))</f>
        <v>Lorem ipsum dolor sit amet, consectetur adipiscing elit.</v>
      </c>
    </row>
    <row r="21" spans="1:16" ht="20.399999999999999" x14ac:dyDescent="0.3">
      <c r="A21" s="23" t="str">
        <f>IFERROR(Projects[[#This Row],[Project Name]],"")</f>
        <v>PROJECT_TANGO</v>
      </c>
      <c r="B21" s="23" t="str">
        <f>_xlfn.XLOOKUP(A21,Projects!A:A,Projects!C:C,"")</f>
        <v>Delivering</v>
      </c>
      <c r="C21" s="28" t="str">
        <f>_xlfn.XLOOKUP(A21,Projects!A:A,Projects!D:D," ")</f>
        <v>Work in Progress</v>
      </c>
      <c r="D21" s="27">
        <f>_xlfn.XLOOKUP(A21,Projects!A:A,Projects!E:E," ")</f>
        <v>0.51529999999999998</v>
      </c>
      <c r="E21" s="25" t="str">
        <f>_xlfn.XLOOKUP($A21,Projects!$A:$A,Projects!G:G," ")</f>
        <v>4 - Low</v>
      </c>
      <c r="F21" s="26" t="str">
        <f>_xlfn.XLOOKUP($A21,Projects!$A:$A,Projects!H:H," ")</f>
        <v xml:space="preserve">1 PROJECT MANAGER </v>
      </c>
      <c r="G21" s="42" t="str">
        <f>_xlfn.XLOOKUP($A21,Projects!$A:$A,Projects!F:F," ")</f>
        <v>Y</v>
      </c>
      <c r="H21" s="43" t="str">
        <f>_xlfn.XLOOKUP($A21,'RAG'!$A:$A,'RAG'!G:G," ")</f>
        <v>G</v>
      </c>
      <c r="I21" s="43" t="str">
        <f>_xlfn.XLOOKUP($A21,'RAG'!$A:$A,'RAG'!H:H," ")</f>
        <v>G</v>
      </c>
      <c r="J21" s="43" t="str">
        <f>_xlfn.XLOOKUP($A21,'RAG'!$A:$A,'RAG'!I:I," ")</f>
        <v>Y</v>
      </c>
      <c r="K21" s="43" t="str">
        <f>_xlfn.XLOOKUP($A21,'RAG'!$A:$A,'RAG'!K:K," ")</f>
        <v>G</v>
      </c>
      <c r="L21" s="40">
        <f>_xlfn.XLOOKUP(A21,Projects!A:A,Projects!M:M,"")</f>
        <v>45777</v>
      </c>
      <c r="M21" s="19" t="str">
        <f>TRIM(CLEAN(_xlfn.XLOOKUP($A21,'RAG'!$A:$A,'RAG'!J:J," ")))</f>
        <v>Lorem ipsum dolor sit amet, consectetur adipiscing elit.</v>
      </c>
      <c r="N21" s="19" t="str">
        <f>TRIM(CLEAN(_xlfn.XLOOKUP($A21,'RAG'!$A:$A,'RAG'!M:M," ")))</f>
        <v>Lorem ipsum dolor sit amet, consectetur adipiscing elit.</v>
      </c>
      <c r="O21" s="19" t="str">
        <f>TRIM(CLEAN(_xlfn.XLOOKUP($A21,'RAG'!$A:$A,'RAG'!O:O," ")))</f>
        <v>Lorem ipsum dolor sit amet, consectetur adipiscing elit.</v>
      </c>
      <c r="P21" s="19" t="str">
        <f>TRIM(CLEAN(_xlfn.XLOOKUP($A21,'RAG'!$A:$A,'RAG'!N:N," ")))</f>
        <v>Lorem ipsum dolor sit amet, consectetur adipiscing elit.</v>
      </c>
    </row>
    <row r="22" spans="1:16" ht="20.399999999999999" x14ac:dyDescent="0.3">
      <c r="A22" s="23" t="str">
        <f>IFERROR(Projects[[#This Row],[Project Name]],"")</f>
        <v>PROJECT_UNIFORM</v>
      </c>
      <c r="B22" s="23" t="str">
        <f>_xlfn.XLOOKUP(A22,Projects!A:A,Projects!C:C,"")</f>
        <v>Initiating</v>
      </c>
      <c r="C22" s="28" t="str">
        <f>_xlfn.XLOOKUP(A22,Projects!A:A,Projects!D:D," ")</f>
        <v>Pending</v>
      </c>
      <c r="D22" s="27">
        <f>_xlfn.XLOOKUP(A22,Projects!A:A,Projects!E:E," ")</f>
        <v>0</v>
      </c>
      <c r="E22" s="25" t="str">
        <f>_xlfn.XLOOKUP($A22,Projects!$A:$A,Projects!G:G," ")</f>
        <v>4 - Low</v>
      </c>
      <c r="F22" s="26" t="str">
        <f>_xlfn.XLOOKUP($A22,Projects!$A:$A,Projects!H:H," ")</f>
        <v xml:space="preserve">5 PROJECT MANAGER </v>
      </c>
      <c r="G22" s="42" t="str">
        <f>_xlfn.XLOOKUP($A22,Projects!$A:$A,Projects!F:F," ")</f>
        <v>Y</v>
      </c>
      <c r="H22" s="43" t="str">
        <f>_xlfn.XLOOKUP($A22,'RAG'!$A:$A,'RAG'!G:G," ")</f>
        <v>G</v>
      </c>
      <c r="I22" s="43" t="str">
        <f>_xlfn.XLOOKUP($A22,'RAG'!$A:$A,'RAG'!H:H," ")</f>
        <v>G</v>
      </c>
      <c r="J22" s="43" t="str">
        <f>_xlfn.XLOOKUP($A22,'RAG'!$A:$A,'RAG'!I:I," ")</f>
        <v>G</v>
      </c>
      <c r="K22" s="43" t="str">
        <f>_xlfn.XLOOKUP($A22,'RAG'!$A:$A,'RAG'!K:K," ")</f>
        <v>G</v>
      </c>
      <c r="L22" s="40">
        <f>_xlfn.XLOOKUP(A22,Projects!A:A,Projects!M:M,"")</f>
        <v>45418</v>
      </c>
      <c r="M22" s="19" t="str">
        <f>TRIM(CLEAN(_xlfn.XLOOKUP($A22,'RAG'!$A:$A,'RAG'!J:J," ")))</f>
        <v>Lorem ipsum dolor sit amet, consectetur adipiscing elit.</v>
      </c>
      <c r="N22" s="19" t="str">
        <f>TRIM(CLEAN(_xlfn.XLOOKUP($A22,'RAG'!$A:$A,'RAG'!M:M," ")))</f>
        <v>Lorem ipsum dolor sit amet, consectetur adipiscing elit.</v>
      </c>
      <c r="O22" s="19" t="str">
        <f>TRIM(CLEAN(_xlfn.XLOOKUP($A22,'RAG'!$A:$A,'RAG'!O:O," ")))</f>
        <v>Lorem ipsum dolor sit amet, consectetur adipiscing elit.</v>
      </c>
      <c r="P22" s="19" t="str">
        <f>TRIM(CLEAN(_xlfn.XLOOKUP($A22,'RAG'!$A:$A,'RAG'!N:N," ")))</f>
        <v>Lorem ipsum dolor sit amet, consectetur adipiscing elit.</v>
      </c>
    </row>
    <row r="23" spans="1:16" ht="20.399999999999999" x14ac:dyDescent="0.3">
      <c r="A23" s="23" t="str">
        <f>IFERROR(Projects[[#This Row],[Project Name]],"")</f>
        <v>PROJECT_VICTOR</v>
      </c>
      <c r="B23" s="23" t="str">
        <f>_xlfn.XLOOKUP(A23,Projects!A:A,Projects!C:C,"")</f>
        <v>Delivering</v>
      </c>
      <c r="C23" s="28" t="str">
        <f>_xlfn.XLOOKUP(A23,Projects!A:A,Projects!D:D," ")</f>
        <v>Work in Progress</v>
      </c>
      <c r="D23" s="27">
        <f>_xlfn.XLOOKUP(A23,Projects!A:A,Projects!E:E," ")</f>
        <v>0.2</v>
      </c>
      <c r="E23" s="25" t="str">
        <f>_xlfn.XLOOKUP($A23,Projects!$A:$A,Projects!G:G," ")</f>
        <v>4 - Low</v>
      </c>
      <c r="F23" s="26" t="str">
        <f>_xlfn.XLOOKUP($A23,Projects!$A:$A,Projects!H:H," ")</f>
        <v xml:space="preserve">5 PROJECT MANAGER </v>
      </c>
      <c r="G23" s="42" t="str">
        <f>_xlfn.XLOOKUP($A23,Projects!$A:$A,Projects!F:F," ")</f>
        <v>G</v>
      </c>
      <c r="H23" s="43" t="str">
        <f>_xlfn.XLOOKUP($A23,'RAG'!$A:$A,'RAG'!G:G," ")</f>
        <v>G</v>
      </c>
      <c r="I23" s="43" t="str">
        <f>_xlfn.XLOOKUP($A23,'RAG'!$A:$A,'RAG'!H:H," ")</f>
        <v>G</v>
      </c>
      <c r="J23" s="43" t="str">
        <f>_xlfn.XLOOKUP($A23,'RAG'!$A:$A,'RAG'!I:I," ")</f>
        <v>Y</v>
      </c>
      <c r="K23" s="43" t="str">
        <f>_xlfn.XLOOKUP($A23,'RAG'!$A:$A,'RAG'!K:K," ")</f>
        <v>G</v>
      </c>
      <c r="L23" s="40">
        <f>_xlfn.XLOOKUP(A23,Projects!A:A,Projects!M:M,"")</f>
        <v>45786</v>
      </c>
      <c r="M23" s="19" t="str">
        <f>TRIM(CLEAN(_xlfn.XLOOKUP($A23,'RAG'!$A:$A,'RAG'!J:J," ")))</f>
        <v>Lorem ipsum dolor sit amet, consectetur adipiscing elit.</v>
      </c>
      <c r="N23" s="19" t="str">
        <f>TRIM(CLEAN(_xlfn.XLOOKUP($A23,'RAG'!$A:$A,'RAG'!M:M," ")))</f>
        <v>Lorem ipsum dolor sit amet, consectetur adipiscing elit.</v>
      </c>
      <c r="O23" s="19" t="str">
        <f>TRIM(CLEAN(_xlfn.XLOOKUP($A23,'RAG'!$A:$A,'RAG'!O:O," ")))</f>
        <v>Lorem ipsum dolor sit amet, consectetur adipiscing elit.</v>
      </c>
      <c r="P23" s="19" t="str">
        <f>TRIM(CLEAN(_xlfn.XLOOKUP($A23,'RAG'!$A:$A,'RAG'!N:N," ")))</f>
        <v>Lorem ipsum dolor sit amet, consectetur adipiscing elit.</v>
      </c>
    </row>
    <row r="24" spans="1:16" ht="20.399999999999999" x14ac:dyDescent="0.3">
      <c r="A24" s="23" t="str">
        <f>IFERROR(Projects[[#This Row],[Project Name]],"")</f>
        <v>PROJECT_WHISKEY</v>
      </c>
      <c r="B24" s="23" t="str">
        <f>_xlfn.XLOOKUP(A24,Projects!A:A,Projects!C:C,"")</f>
        <v>Delivering</v>
      </c>
      <c r="C24" s="28" t="str">
        <f>_xlfn.XLOOKUP(A24,Projects!A:A,Projects!D:D," ")</f>
        <v>Pending Customer</v>
      </c>
      <c r="D24" s="27">
        <f>_xlfn.XLOOKUP(A24,Projects!A:A,Projects!E:E," ")</f>
        <v>7.0000000000000007E-2</v>
      </c>
      <c r="E24" s="25" t="str">
        <f>_xlfn.XLOOKUP($A24,Projects!$A:$A,Projects!G:G," ")</f>
        <v>4 - Low</v>
      </c>
      <c r="F24" s="26" t="str">
        <f>_xlfn.XLOOKUP($A24,Projects!$A:$A,Projects!H:H," ")</f>
        <v xml:space="preserve">5 PROJECT MANAGER </v>
      </c>
      <c r="G24" s="42" t="str">
        <f>_xlfn.XLOOKUP($A24,Projects!$A:$A,Projects!F:F," ")</f>
        <v>Y</v>
      </c>
      <c r="H24" s="43" t="str">
        <f>_xlfn.XLOOKUP($A24,'RAG'!$A:$A,'RAG'!G:G," ")</f>
        <v>G</v>
      </c>
      <c r="I24" s="43" t="str">
        <f>_xlfn.XLOOKUP($A24,'RAG'!$A:$A,'RAG'!H:H," ")</f>
        <v>G</v>
      </c>
      <c r="J24" s="43" t="str">
        <f>_xlfn.XLOOKUP($A24,'RAG'!$A:$A,'RAG'!I:I," ")</f>
        <v>G</v>
      </c>
      <c r="K24" s="43" t="str">
        <f>_xlfn.XLOOKUP($A24,'RAG'!$A:$A,'RAG'!K:K," ")</f>
        <v>G</v>
      </c>
      <c r="L24" s="40">
        <f>_xlfn.XLOOKUP(A24,Projects!A:A,Projects!M:M,"")</f>
        <v>45504</v>
      </c>
      <c r="M24" s="19" t="str">
        <f>TRIM(CLEAN(_xlfn.XLOOKUP($A24,'RAG'!$A:$A,'RAG'!J:J," ")))</f>
        <v>Lorem ipsum dolor sit amet, consectetur adipiscing elit.</v>
      </c>
      <c r="N24" s="19" t="str">
        <f>TRIM(CLEAN(_xlfn.XLOOKUP($A24,'RAG'!$A:$A,'RAG'!M:M," ")))</f>
        <v>Lorem ipsum dolor sit amet, consectetur adipiscing elit.</v>
      </c>
      <c r="O24" s="19" t="str">
        <f>TRIM(CLEAN(_xlfn.XLOOKUP($A24,'RAG'!$A:$A,'RAG'!O:O," ")))</f>
        <v>Lorem ipsum dolor sit amet, consectetur adipiscing elit.</v>
      </c>
      <c r="P24" s="19" t="str">
        <f>TRIM(CLEAN(_xlfn.XLOOKUP($A24,'RAG'!$A:$A,'RAG'!N:N," ")))</f>
        <v>Lorem ipsum dolor sit amet, consectetur adipiscing elit.</v>
      </c>
    </row>
    <row r="25" spans="1:16" ht="20.399999999999999" x14ac:dyDescent="0.3">
      <c r="A25" s="23" t="str">
        <f>IFERROR(Projects[[#This Row],[Project Name]],"")</f>
        <v>PROJECT_XRAY</v>
      </c>
      <c r="B25" s="23" t="str">
        <f>_xlfn.XLOOKUP(A25,Projects!A:A,Projects!C:C,"")</f>
        <v>Delivering</v>
      </c>
      <c r="C25" s="28" t="str">
        <f>_xlfn.XLOOKUP(A25,Projects!A:A,Projects!D:D," ")</f>
        <v>Work in Progress</v>
      </c>
      <c r="D25" s="27">
        <f>_xlfn.XLOOKUP(A25,Projects!A:A,Projects!E:E," ")</f>
        <v>0.99</v>
      </c>
      <c r="E25" s="25" t="str">
        <f>_xlfn.XLOOKUP($A25,Projects!$A:$A,Projects!G:G," ")</f>
        <v>4 - Low</v>
      </c>
      <c r="F25" s="26" t="str">
        <f>_xlfn.XLOOKUP($A25,Projects!$A:$A,Projects!H:H," ")</f>
        <v xml:space="preserve">5 PROJECT MANAGER </v>
      </c>
      <c r="G25" s="42" t="str">
        <f>_xlfn.XLOOKUP($A25,Projects!$A:$A,Projects!F:F," ")</f>
        <v>R</v>
      </c>
      <c r="H25" s="43" t="str">
        <f>_xlfn.XLOOKUP($A25,'RAG'!$A:$A,'RAG'!G:G," ")</f>
        <v>R</v>
      </c>
      <c r="I25" s="43" t="str">
        <f>_xlfn.XLOOKUP($A25,'RAG'!$A:$A,'RAG'!H:H," ")</f>
        <v>G</v>
      </c>
      <c r="J25" s="43" t="str">
        <f>_xlfn.XLOOKUP($A25,'RAG'!$A:$A,'RAG'!I:I," ")</f>
        <v>G</v>
      </c>
      <c r="K25" s="43" t="str">
        <f>_xlfn.XLOOKUP($A25,'RAG'!$A:$A,'RAG'!K:K," ")</f>
        <v>G</v>
      </c>
      <c r="L25" s="40">
        <f>_xlfn.XLOOKUP(A25,Projects!A:A,Projects!M:M,"")</f>
        <v>45751</v>
      </c>
      <c r="M25" s="19" t="str">
        <f>TRIM(CLEAN(_xlfn.XLOOKUP($A25,'RAG'!$A:$A,'RAG'!J:J," ")))</f>
        <v>Lorem ipsum dolor sit amet, consectetur adipiscing elit.</v>
      </c>
      <c r="N25" s="19" t="str">
        <f>TRIM(CLEAN(_xlfn.XLOOKUP($A25,'RAG'!$A:$A,'RAG'!M:M," ")))</f>
        <v>Lorem ipsum dolor sit amet, consectetur adipiscing elit.</v>
      </c>
      <c r="O25" s="19" t="str">
        <f>TRIM(CLEAN(_xlfn.XLOOKUP($A25,'RAG'!$A:$A,'RAG'!O:O," ")))</f>
        <v>Lorem ipsum dolor sit amet, consectetur adipiscing elit.</v>
      </c>
      <c r="P25" s="19" t="str">
        <f>TRIM(CLEAN(_xlfn.XLOOKUP($A25,'RAG'!$A:$A,'RAG'!N:N," ")))</f>
        <v>Lorem ipsum dolor sit amet, consectetur adipiscing elit.</v>
      </c>
    </row>
    <row r="26" spans="1:16" x14ac:dyDescent="0.3">
      <c r="A26" s="23" t="str">
        <f>IFERROR(Projects[[#This Row],[Project Name]],"")</f>
        <v/>
      </c>
      <c r="B26" s="23" t="str">
        <f>_xlfn.XLOOKUP(A26,Projects!A:A,Projects!C:C,"")</f>
        <v/>
      </c>
      <c r="C26" s="28" t="str">
        <f>_xlfn.XLOOKUP(A26,Projects!A:A,Projects!D:D," ")</f>
        <v xml:space="preserve"> </v>
      </c>
      <c r="D26" s="27" t="str">
        <f>_xlfn.XLOOKUP(A26,Projects!A:A,Projects!E:E," ")</f>
        <v xml:space="preserve"> </v>
      </c>
      <c r="E26" s="25" t="str">
        <f>_xlfn.XLOOKUP($A26,Projects!$A:$A,Projects!G:G," ")</f>
        <v xml:space="preserve"> </v>
      </c>
      <c r="F26" s="26" t="str">
        <f>_xlfn.XLOOKUP($A26,Projects!$A:$A,Projects!H:H," ")</f>
        <v xml:space="preserve"> </v>
      </c>
      <c r="G26" s="42" t="str">
        <f>_xlfn.XLOOKUP($A26,Projects!$A:$A,Projects!F:F," ")</f>
        <v xml:space="preserve"> </v>
      </c>
      <c r="H26" s="43" t="str">
        <f>_xlfn.XLOOKUP($A26,'RAG'!$A:$A,'RAG'!G:G," ")</f>
        <v xml:space="preserve"> </v>
      </c>
      <c r="I26" s="43" t="str">
        <f>_xlfn.XLOOKUP($A26,'RAG'!$A:$A,'RAG'!H:H," ")</f>
        <v xml:space="preserve"> </v>
      </c>
      <c r="J26" s="43" t="str">
        <f>_xlfn.XLOOKUP($A26,'RAG'!$A:$A,'RAG'!I:I," ")</f>
        <v xml:space="preserve"> </v>
      </c>
      <c r="K26" s="43" t="str">
        <f>_xlfn.XLOOKUP($A26,'RAG'!$A:$A,'RAG'!K:K," ")</f>
        <v xml:space="preserve"> </v>
      </c>
      <c r="L26" s="40" t="str">
        <f>_xlfn.XLOOKUP(A26,Projects!A:A,Projects!M:M,"")</f>
        <v/>
      </c>
      <c r="M26" s="19" t="str">
        <f>TRIM(CLEAN(_xlfn.XLOOKUP($A26,'RAG'!$A:$A,'RAG'!J:J," ")))</f>
        <v/>
      </c>
      <c r="N26" s="19" t="str">
        <f>TRIM(CLEAN(_xlfn.XLOOKUP($A26,'RAG'!$A:$A,'RAG'!M:M," ")))</f>
        <v/>
      </c>
      <c r="O26" s="19" t="str">
        <f>TRIM(CLEAN(_xlfn.XLOOKUP($A26,'RAG'!$A:$A,'RAG'!O:O," ")))</f>
        <v/>
      </c>
      <c r="P26" s="19" t="str">
        <f>TRIM(CLEAN(_xlfn.XLOOKUP($A26,'RAG'!$A:$A,'RAG'!N:N," ")))</f>
        <v/>
      </c>
    </row>
    <row r="27" spans="1:16" x14ac:dyDescent="0.3">
      <c r="A27" s="23" t="str">
        <f>IFERROR(Projects[[#This Row],[Project Name]],"")</f>
        <v/>
      </c>
      <c r="B27" s="23" t="str">
        <f>_xlfn.XLOOKUP(A27,Projects!A:A,Projects!C:C,"")</f>
        <v/>
      </c>
      <c r="C27" s="28" t="str">
        <f>_xlfn.XLOOKUP(A27,Projects!A:A,Projects!D:D," ")</f>
        <v xml:space="preserve"> </v>
      </c>
      <c r="D27" s="27" t="str">
        <f>_xlfn.XLOOKUP(A27,Projects!A:A,Projects!E:E," ")</f>
        <v xml:space="preserve"> </v>
      </c>
      <c r="E27" s="25" t="str">
        <f>_xlfn.XLOOKUP($A27,Projects!$A:$A,Projects!G:G," ")</f>
        <v xml:space="preserve"> </v>
      </c>
      <c r="F27" s="26" t="str">
        <f>_xlfn.XLOOKUP($A27,Projects!$A:$A,Projects!H:H," ")</f>
        <v xml:space="preserve"> </v>
      </c>
      <c r="G27" s="42" t="str">
        <f>_xlfn.XLOOKUP($A27,Projects!$A:$A,Projects!F:F," ")</f>
        <v xml:space="preserve"> </v>
      </c>
      <c r="H27" s="43" t="str">
        <f>_xlfn.XLOOKUP($A27,'RAG'!$A:$A,'RAG'!G:G," ")</f>
        <v xml:space="preserve"> </v>
      </c>
      <c r="I27" s="43" t="str">
        <f>_xlfn.XLOOKUP($A27,'RAG'!$A:$A,'RAG'!H:H," ")</f>
        <v xml:space="preserve"> </v>
      </c>
      <c r="J27" s="43" t="str">
        <f>_xlfn.XLOOKUP($A27,'RAG'!$A:$A,'RAG'!I:I," ")</f>
        <v xml:space="preserve"> </v>
      </c>
      <c r="K27" s="43" t="str">
        <f>_xlfn.XLOOKUP($A27,'RAG'!$A:$A,'RAG'!K:K," ")</f>
        <v xml:space="preserve"> </v>
      </c>
      <c r="L27" s="40" t="str">
        <f>_xlfn.XLOOKUP(A27,Projects!A:A,Projects!M:M,"")</f>
        <v/>
      </c>
      <c r="M27" s="19" t="str">
        <f>TRIM(CLEAN(_xlfn.XLOOKUP($A27,'RAG'!$A:$A,'RAG'!J:J," ")))</f>
        <v/>
      </c>
      <c r="N27" s="19" t="str">
        <f>TRIM(CLEAN(_xlfn.XLOOKUP($A27,'RAG'!$A:$A,'RAG'!M:M," ")))</f>
        <v/>
      </c>
      <c r="O27" s="19" t="str">
        <f>TRIM(CLEAN(_xlfn.XLOOKUP($A27,'RAG'!$A:$A,'RAG'!O:O," ")))</f>
        <v/>
      </c>
      <c r="P27" s="19" t="str">
        <f>TRIM(CLEAN(_xlfn.XLOOKUP($A27,'RAG'!$A:$A,'RAG'!N:N," ")))</f>
        <v/>
      </c>
    </row>
    <row r="28" spans="1:16" x14ac:dyDescent="0.3">
      <c r="A28" s="23" t="str">
        <f>IFERROR(Projects[[#This Row],[Project Name]],"")</f>
        <v/>
      </c>
      <c r="B28" s="23" t="str">
        <f>_xlfn.XLOOKUP(A28,Projects!A:A,Projects!C:C,"")</f>
        <v/>
      </c>
      <c r="C28" s="28" t="str">
        <f>_xlfn.XLOOKUP(A28,Projects!A:A,Projects!D:D," ")</f>
        <v xml:space="preserve"> </v>
      </c>
      <c r="D28" s="27" t="str">
        <f>_xlfn.XLOOKUP(A28,Projects!A:A,Projects!E:E," ")</f>
        <v xml:space="preserve"> </v>
      </c>
      <c r="E28" s="25" t="str">
        <f>_xlfn.XLOOKUP($A28,Projects!$A:$A,Projects!G:G," ")</f>
        <v xml:space="preserve"> </v>
      </c>
      <c r="F28" s="26" t="str">
        <f>_xlfn.XLOOKUP($A28,Projects!$A:$A,Projects!H:H," ")</f>
        <v xml:space="preserve"> </v>
      </c>
      <c r="G28" s="42" t="str">
        <f>_xlfn.XLOOKUP($A28,Projects!$A:$A,Projects!F:F," ")</f>
        <v xml:space="preserve"> </v>
      </c>
      <c r="H28" s="43" t="str">
        <f>_xlfn.XLOOKUP($A28,'RAG'!$A:$A,'RAG'!G:G," ")</f>
        <v xml:space="preserve"> </v>
      </c>
      <c r="I28" s="43" t="str">
        <f>_xlfn.XLOOKUP($A28,'RAG'!$A:$A,'RAG'!H:H," ")</f>
        <v xml:space="preserve"> </v>
      </c>
      <c r="J28" s="43" t="str">
        <f>_xlfn.XLOOKUP($A28,'RAG'!$A:$A,'RAG'!I:I," ")</f>
        <v xml:space="preserve"> </v>
      </c>
      <c r="K28" s="43" t="str">
        <f>_xlfn.XLOOKUP($A28,'RAG'!$A:$A,'RAG'!K:K," ")</f>
        <v xml:space="preserve"> </v>
      </c>
      <c r="L28" s="40" t="str">
        <f>_xlfn.XLOOKUP(A28,Projects!A:A,Projects!M:M,"")</f>
        <v/>
      </c>
      <c r="M28" s="19" t="str">
        <f>TRIM(CLEAN(_xlfn.XLOOKUP($A28,'RAG'!$A:$A,'RAG'!J:J," ")))</f>
        <v/>
      </c>
      <c r="N28" s="19" t="str">
        <f>TRIM(CLEAN(_xlfn.XLOOKUP($A28,'RAG'!$A:$A,'RAG'!M:M," ")))</f>
        <v/>
      </c>
      <c r="O28" s="19" t="str">
        <f>TRIM(CLEAN(_xlfn.XLOOKUP($A28,'RAG'!$A:$A,'RAG'!O:O," ")))</f>
        <v/>
      </c>
      <c r="P28" s="19" t="str">
        <f>TRIM(CLEAN(_xlfn.XLOOKUP($A28,'RAG'!$A:$A,'RAG'!N:N," ")))</f>
        <v/>
      </c>
    </row>
    <row r="29" spans="1:16" x14ac:dyDescent="0.3">
      <c r="A29" s="23" t="str">
        <f>IFERROR(Projects[[#This Row],[Project Name]],"")</f>
        <v/>
      </c>
      <c r="B29" s="23" t="str">
        <f>_xlfn.XLOOKUP(A29,Projects!A:A,Projects!C:C,"")</f>
        <v/>
      </c>
      <c r="C29" s="28" t="str">
        <f>_xlfn.XLOOKUP(A29,Projects!A:A,Projects!D:D," ")</f>
        <v xml:space="preserve"> </v>
      </c>
      <c r="D29" s="27" t="str">
        <f>_xlfn.XLOOKUP(A29,Projects!A:A,Projects!E:E," ")</f>
        <v xml:space="preserve"> </v>
      </c>
      <c r="E29" s="25" t="str">
        <f>_xlfn.XLOOKUP($A29,Projects!$A:$A,Projects!G:G," ")</f>
        <v xml:space="preserve"> </v>
      </c>
      <c r="F29" s="26" t="str">
        <f>_xlfn.XLOOKUP($A29,Projects!$A:$A,Projects!H:H," ")</f>
        <v xml:space="preserve"> </v>
      </c>
      <c r="G29" s="42" t="str">
        <f>_xlfn.XLOOKUP($A29,Projects!$A:$A,Projects!F:F," ")</f>
        <v xml:space="preserve"> </v>
      </c>
      <c r="H29" s="43" t="str">
        <f>_xlfn.XLOOKUP($A29,'RAG'!$A:$A,'RAG'!G:G," ")</f>
        <v xml:space="preserve"> </v>
      </c>
      <c r="I29" s="43" t="str">
        <f>_xlfn.XLOOKUP($A29,'RAG'!$A:$A,'RAG'!H:H," ")</f>
        <v xml:space="preserve"> </v>
      </c>
      <c r="J29" s="43" t="str">
        <f>_xlfn.XLOOKUP($A29,'RAG'!$A:$A,'RAG'!I:I," ")</f>
        <v xml:space="preserve"> </v>
      </c>
      <c r="K29" s="43" t="str">
        <f>_xlfn.XLOOKUP($A29,'RAG'!$A:$A,'RAG'!K:K," ")</f>
        <v xml:space="preserve"> </v>
      </c>
      <c r="L29" s="40" t="str">
        <f>_xlfn.XLOOKUP(A29,Projects!A:A,Projects!M:M,"")</f>
        <v/>
      </c>
      <c r="M29" s="19" t="str">
        <f>TRIM(CLEAN(_xlfn.XLOOKUP($A29,'RAG'!$A:$A,'RAG'!J:J," ")))</f>
        <v/>
      </c>
      <c r="N29" s="19" t="str">
        <f>TRIM(CLEAN(_xlfn.XLOOKUP($A29,'RAG'!$A:$A,'RAG'!M:M," ")))</f>
        <v/>
      </c>
      <c r="O29" s="19" t="str">
        <f>TRIM(CLEAN(_xlfn.XLOOKUP($A29,'RAG'!$A:$A,'RAG'!O:O," ")))</f>
        <v/>
      </c>
      <c r="P29" s="19" t="str">
        <f>TRIM(CLEAN(_xlfn.XLOOKUP($A29,'RAG'!$A:$A,'RAG'!N:N," ")))</f>
        <v/>
      </c>
    </row>
    <row r="30" spans="1:16" x14ac:dyDescent="0.3">
      <c r="A30" s="23" t="str">
        <f>IFERROR(Projects[[#This Row],[Project Name]],"")</f>
        <v/>
      </c>
      <c r="B30" s="23" t="str">
        <f>_xlfn.XLOOKUP(A30,Projects!A:A,Projects!C:C,"")</f>
        <v/>
      </c>
      <c r="C30" s="28" t="str">
        <f>_xlfn.XLOOKUP(A30,Projects!A:A,Projects!D:D," ")</f>
        <v xml:space="preserve"> </v>
      </c>
      <c r="D30" s="27" t="str">
        <f>_xlfn.XLOOKUP(A30,Projects!A:A,Projects!E:E," ")</f>
        <v xml:space="preserve"> </v>
      </c>
      <c r="E30" s="25" t="str">
        <f>_xlfn.XLOOKUP($A30,Projects!$A:$A,Projects!G:G," ")</f>
        <v xml:space="preserve"> </v>
      </c>
      <c r="F30" s="26" t="str">
        <f>_xlfn.XLOOKUP($A30,Projects!$A:$A,Projects!H:H," ")</f>
        <v xml:space="preserve"> </v>
      </c>
      <c r="G30" s="42" t="str">
        <f>_xlfn.XLOOKUP($A30,Projects!$A:$A,Projects!F:F," ")</f>
        <v xml:space="preserve"> </v>
      </c>
      <c r="H30" s="43" t="str">
        <f>_xlfn.XLOOKUP($A30,'RAG'!$A:$A,'RAG'!G:G," ")</f>
        <v xml:space="preserve"> </v>
      </c>
      <c r="I30" s="43" t="str">
        <f>_xlfn.XLOOKUP($A30,'RAG'!$A:$A,'RAG'!H:H," ")</f>
        <v xml:space="preserve"> </v>
      </c>
      <c r="J30" s="43" t="str">
        <f>_xlfn.XLOOKUP($A30,'RAG'!$A:$A,'RAG'!I:I," ")</f>
        <v xml:space="preserve"> </v>
      </c>
      <c r="K30" s="43" t="str">
        <f>_xlfn.XLOOKUP($A30,'RAG'!$A:$A,'RAG'!K:K," ")</f>
        <v xml:space="preserve"> </v>
      </c>
      <c r="L30" s="40" t="str">
        <f>_xlfn.XLOOKUP(A30,Projects!A:A,Projects!M:M,"")</f>
        <v/>
      </c>
      <c r="M30" s="19" t="str">
        <f>TRIM(CLEAN(_xlfn.XLOOKUP($A30,'RAG'!$A:$A,'RAG'!J:J," ")))</f>
        <v/>
      </c>
      <c r="N30" s="19" t="str">
        <f>TRIM(CLEAN(_xlfn.XLOOKUP($A30,'RAG'!$A:$A,'RAG'!M:M," ")))</f>
        <v/>
      </c>
      <c r="O30" s="19" t="str">
        <f>TRIM(CLEAN(_xlfn.XLOOKUP($A30,'RAG'!$A:$A,'RAG'!O:O," ")))</f>
        <v/>
      </c>
      <c r="P30" s="19" t="str">
        <f>TRIM(CLEAN(_xlfn.XLOOKUP($A30,'RAG'!$A:$A,'RAG'!N:N," ")))</f>
        <v/>
      </c>
    </row>
    <row r="31" spans="1:16" x14ac:dyDescent="0.3">
      <c r="A31" s="23" t="str">
        <f>IFERROR(Projects[[#This Row],[Project Name]],"")</f>
        <v/>
      </c>
      <c r="B31" s="23" t="str">
        <f>_xlfn.XLOOKUP(A31,Projects!A:A,Projects!C:C,"")</f>
        <v/>
      </c>
      <c r="C31" s="28" t="str">
        <f>_xlfn.XLOOKUP(A31,Projects!A:A,Projects!D:D," ")</f>
        <v xml:space="preserve"> </v>
      </c>
      <c r="D31" s="27" t="str">
        <f>_xlfn.XLOOKUP(A31,Projects!A:A,Projects!E:E," ")</f>
        <v xml:space="preserve"> </v>
      </c>
      <c r="E31" s="25" t="str">
        <f>_xlfn.XLOOKUP($A31,Projects!$A:$A,Projects!G:G," ")</f>
        <v xml:space="preserve"> </v>
      </c>
      <c r="F31" s="26" t="str">
        <f>_xlfn.XLOOKUP($A31,Projects!$A:$A,Projects!H:H," ")</f>
        <v xml:space="preserve"> </v>
      </c>
      <c r="G31" s="42" t="str">
        <f>_xlfn.XLOOKUP($A31,Projects!$A:$A,Projects!F:F," ")</f>
        <v xml:space="preserve"> </v>
      </c>
      <c r="H31" s="43" t="str">
        <f>_xlfn.XLOOKUP($A31,'RAG'!$A:$A,'RAG'!G:G," ")</f>
        <v xml:space="preserve"> </v>
      </c>
      <c r="I31" s="43" t="str">
        <f>_xlfn.XLOOKUP($A31,'RAG'!$A:$A,'RAG'!H:H," ")</f>
        <v xml:space="preserve"> </v>
      </c>
      <c r="J31" s="43" t="str">
        <f>_xlfn.XLOOKUP($A31,'RAG'!$A:$A,'RAG'!I:I," ")</f>
        <v xml:space="preserve"> </v>
      </c>
      <c r="K31" s="43" t="str">
        <f>_xlfn.XLOOKUP($A31,'RAG'!$A:$A,'RAG'!K:K," ")</f>
        <v xml:space="preserve"> </v>
      </c>
      <c r="L31" s="40" t="str">
        <f>_xlfn.XLOOKUP(A31,Projects!A:A,Projects!M:M,"")</f>
        <v/>
      </c>
      <c r="M31" s="19" t="str">
        <f>TRIM(CLEAN(_xlfn.XLOOKUP($A31,'RAG'!$A:$A,'RAG'!J:J," ")))</f>
        <v/>
      </c>
      <c r="N31" s="19" t="str">
        <f>TRIM(CLEAN(_xlfn.XLOOKUP($A31,'RAG'!$A:$A,'RAG'!M:M," ")))</f>
        <v/>
      </c>
      <c r="O31" s="19" t="str">
        <f>TRIM(CLEAN(_xlfn.XLOOKUP($A31,'RAG'!$A:$A,'RAG'!O:O," ")))</f>
        <v/>
      </c>
      <c r="P31" s="19" t="str">
        <f>TRIM(CLEAN(_xlfn.XLOOKUP($A31,'RAG'!$A:$A,'RAG'!N:N," ")))</f>
        <v/>
      </c>
    </row>
    <row r="32" spans="1:16" x14ac:dyDescent="0.3">
      <c r="A32" s="23" t="str">
        <f>IFERROR(Projects[[#This Row],[Project Name]],"")</f>
        <v/>
      </c>
      <c r="B32" s="23" t="str">
        <f>_xlfn.XLOOKUP(A32,Projects!A:A,Projects!C:C,"")</f>
        <v/>
      </c>
      <c r="C32" s="28" t="str">
        <f>_xlfn.XLOOKUP(A32,Projects!A:A,Projects!D:D," ")</f>
        <v xml:space="preserve"> </v>
      </c>
      <c r="D32" s="27" t="str">
        <f>_xlfn.XLOOKUP(A32,Projects!A:A,Projects!E:E," ")</f>
        <v xml:space="preserve"> </v>
      </c>
      <c r="E32" s="25" t="str">
        <f>_xlfn.XLOOKUP($A32,Projects!$A:$A,Projects!G:G," ")</f>
        <v xml:space="preserve"> </v>
      </c>
      <c r="F32" s="26" t="str">
        <f>_xlfn.XLOOKUP($A32,Projects!$A:$A,Projects!H:H," ")</f>
        <v xml:space="preserve"> </v>
      </c>
      <c r="G32" s="42" t="str">
        <f>_xlfn.XLOOKUP($A32,Projects!$A:$A,Projects!F:F," ")</f>
        <v xml:space="preserve"> </v>
      </c>
      <c r="H32" s="43" t="str">
        <f>_xlfn.XLOOKUP($A32,'RAG'!$A:$A,'RAG'!G:G," ")</f>
        <v xml:space="preserve"> </v>
      </c>
      <c r="I32" s="43" t="str">
        <f>_xlfn.XLOOKUP($A32,'RAG'!$A:$A,'RAG'!H:H," ")</f>
        <v xml:space="preserve"> </v>
      </c>
      <c r="J32" s="43" t="str">
        <f>_xlfn.XLOOKUP($A32,'RAG'!$A:$A,'RAG'!I:I," ")</f>
        <v xml:space="preserve"> </v>
      </c>
      <c r="K32" s="43" t="str">
        <f>_xlfn.XLOOKUP($A32,'RAG'!$A:$A,'RAG'!K:K," ")</f>
        <v xml:space="preserve"> </v>
      </c>
      <c r="L32" s="40" t="str">
        <f>_xlfn.XLOOKUP(A32,Projects!A:A,Projects!M:M,"")</f>
        <v/>
      </c>
      <c r="M32" s="19" t="str">
        <f>TRIM(CLEAN(_xlfn.XLOOKUP($A32,'RAG'!$A:$A,'RAG'!J:J," ")))</f>
        <v/>
      </c>
      <c r="N32" s="19" t="str">
        <f>TRIM(CLEAN(_xlfn.XLOOKUP($A32,'RAG'!$A:$A,'RAG'!M:M," ")))</f>
        <v/>
      </c>
      <c r="O32" s="19" t="str">
        <f>TRIM(CLEAN(_xlfn.XLOOKUP($A32,'RAG'!$A:$A,'RAG'!O:O," ")))</f>
        <v/>
      </c>
      <c r="P32" s="19" t="str">
        <f>TRIM(CLEAN(_xlfn.XLOOKUP($A32,'RAG'!$A:$A,'RAG'!N:N," ")))</f>
        <v/>
      </c>
    </row>
    <row r="33" spans="1:16" x14ac:dyDescent="0.3">
      <c r="A33" s="23" t="str">
        <f>IFERROR(Projects[[#This Row],[Project Name]],"")</f>
        <v/>
      </c>
      <c r="B33" s="23" t="str">
        <f>_xlfn.XLOOKUP(A33,Projects!A:A,Projects!C:C,"")</f>
        <v/>
      </c>
      <c r="C33" s="28" t="str">
        <f>_xlfn.XLOOKUP(A33,Projects!A:A,Projects!D:D," ")</f>
        <v xml:space="preserve"> </v>
      </c>
      <c r="D33" s="27" t="str">
        <f>_xlfn.XLOOKUP(A33,Projects!A:A,Projects!E:E," ")</f>
        <v xml:space="preserve"> </v>
      </c>
      <c r="E33" s="25" t="str">
        <f>_xlfn.XLOOKUP($A33,Projects!$A:$A,Projects!G:G," ")</f>
        <v xml:space="preserve"> </v>
      </c>
      <c r="F33" s="26" t="str">
        <f>_xlfn.XLOOKUP($A33,Projects!$A:$A,Projects!H:H," ")</f>
        <v xml:space="preserve"> </v>
      </c>
      <c r="G33" s="42" t="str">
        <f>_xlfn.XLOOKUP($A33,Projects!$A:$A,Projects!F:F," ")</f>
        <v xml:space="preserve"> </v>
      </c>
      <c r="H33" s="43" t="str">
        <f>_xlfn.XLOOKUP($A33,'RAG'!$A:$A,'RAG'!G:G," ")</f>
        <v xml:space="preserve"> </v>
      </c>
      <c r="I33" s="43" t="str">
        <f>_xlfn.XLOOKUP($A33,'RAG'!$A:$A,'RAG'!H:H," ")</f>
        <v xml:space="preserve"> </v>
      </c>
      <c r="J33" s="43" t="str">
        <f>_xlfn.XLOOKUP($A33,'RAG'!$A:$A,'RAG'!I:I," ")</f>
        <v xml:space="preserve"> </v>
      </c>
      <c r="K33" s="43" t="str">
        <f>_xlfn.XLOOKUP($A33,'RAG'!$A:$A,'RAG'!K:K," ")</f>
        <v xml:space="preserve"> </v>
      </c>
      <c r="L33" s="40" t="str">
        <f>_xlfn.XLOOKUP(A33,Projects!A:A,Projects!M:M,"")</f>
        <v/>
      </c>
      <c r="M33" s="19" t="str">
        <f>TRIM(CLEAN(_xlfn.XLOOKUP($A33,'RAG'!$A:$A,'RAG'!J:J," ")))</f>
        <v/>
      </c>
      <c r="N33" s="19" t="str">
        <f>TRIM(CLEAN(_xlfn.XLOOKUP($A33,'RAG'!$A:$A,'RAG'!M:M," ")))</f>
        <v/>
      </c>
      <c r="O33" s="19" t="str">
        <f>TRIM(CLEAN(_xlfn.XLOOKUP($A33,'RAG'!$A:$A,'RAG'!O:O," ")))</f>
        <v/>
      </c>
      <c r="P33" s="19" t="str">
        <f>TRIM(CLEAN(_xlfn.XLOOKUP($A33,'RAG'!$A:$A,'RAG'!N:N," ")))</f>
        <v/>
      </c>
    </row>
    <row r="34" spans="1:16" x14ac:dyDescent="0.3">
      <c r="A34" s="23" t="str">
        <f>IFERROR(Projects[[#This Row],[Project Name]],"")</f>
        <v/>
      </c>
      <c r="B34" s="23" t="str">
        <f>_xlfn.XLOOKUP(A34,Projects!A:A,Projects!C:C,"")</f>
        <v/>
      </c>
      <c r="C34" s="28" t="str">
        <f>_xlfn.XLOOKUP(A34,Projects!A:A,Projects!D:D," ")</f>
        <v xml:space="preserve"> </v>
      </c>
      <c r="D34" s="27" t="str">
        <f>_xlfn.XLOOKUP(A34,Projects!A:A,Projects!E:E," ")</f>
        <v xml:space="preserve"> </v>
      </c>
      <c r="E34" s="25" t="str">
        <f>_xlfn.XLOOKUP($A34,Projects!$A:$A,Projects!G:G," ")</f>
        <v xml:space="preserve"> </v>
      </c>
      <c r="F34" s="26" t="str">
        <f>_xlfn.XLOOKUP($A34,Projects!$A:$A,Projects!H:H," ")</f>
        <v xml:space="preserve"> </v>
      </c>
      <c r="G34" s="42" t="str">
        <f>_xlfn.XLOOKUP($A34,Projects!$A:$A,Projects!F:F," ")</f>
        <v xml:space="preserve"> </v>
      </c>
      <c r="H34" s="43" t="str">
        <f>_xlfn.XLOOKUP($A34,'RAG'!$A:$A,'RAG'!G:G," ")</f>
        <v xml:space="preserve"> </v>
      </c>
      <c r="I34" s="43" t="str">
        <f>_xlfn.XLOOKUP($A34,'RAG'!$A:$A,'RAG'!H:H," ")</f>
        <v xml:space="preserve"> </v>
      </c>
      <c r="J34" s="43" t="str">
        <f>_xlfn.XLOOKUP($A34,'RAG'!$A:$A,'RAG'!I:I," ")</f>
        <v xml:space="preserve"> </v>
      </c>
      <c r="K34" s="43" t="str">
        <f>_xlfn.XLOOKUP($A34,'RAG'!$A:$A,'RAG'!K:K," ")</f>
        <v xml:space="preserve"> </v>
      </c>
      <c r="L34" s="40" t="str">
        <f>_xlfn.XLOOKUP(A34,Projects!A:A,Projects!M:M,"")</f>
        <v/>
      </c>
      <c r="M34" s="19" t="str">
        <f>TRIM(CLEAN(_xlfn.XLOOKUP($A34,'RAG'!$A:$A,'RAG'!J:J," ")))</f>
        <v/>
      </c>
      <c r="N34" s="19" t="str">
        <f>TRIM(CLEAN(_xlfn.XLOOKUP($A34,'RAG'!$A:$A,'RAG'!M:M," ")))</f>
        <v/>
      </c>
      <c r="O34" s="19" t="str">
        <f>TRIM(CLEAN(_xlfn.XLOOKUP($A34,'RAG'!$A:$A,'RAG'!O:O," ")))</f>
        <v/>
      </c>
      <c r="P34" s="19" t="str">
        <f>TRIM(CLEAN(_xlfn.XLOOKUP($A34,'RAG'!$A:$A,'RAG'!N:N," ")))</f>
        <v/>
      </c>
    </row>
    <row r="35" spans="1:16" x14ac:dyDescent="0.3">
      <c r="A35" s="23" t="str">
        <f>IFERROR(Projects[[#This Row],[Project Name]],"")</f>
        <v/>
      </c>
      <c r="B35" s="23" t="str">
        <f>_xlfn.XLOOKUP(A35,Projects!A:A,Projects!C:C,"")</f>
        <v/>
      </c>
      <c r="C35" s="28" t="str">
        <f>_xlfn.XLOOKUP(A35,Projects!A:A,Projects!D:D," ")</f>
        <v xml:space="preserve"> </v>
      </c>
      <c r="D35" s="27" t="str">
        <f>_xlfn.XLOOKUP(A35,Projects!A:A,Projects!E:E," ")</f>
        <v xml:space="preserve"> </v>
      </c>
      <c r="E35" s="25" t="str">
        <f>_xlfn.XLOOKUP($A35,Projects!$A:$A,Projects!G:G," ")</f>
        <v xml:space="preserve"> </v>
      </c>
      <c r="F35" s="26" t="str">
        <f>_xlfn.XLOOKUP($A35,Projects!$A:$A,Projects!H:H," ")</f>
        <v xml:space="preserve"> </v>
      </c>
      <c r="G35" s="42" t="str">
        <f>_xlfn.XLOOKUP($A35,Projects!$A:$A,Projects!F:F," ")</f>
        <v xml:space="preserve"> </v>
      </c>
      <c r="H35" s="43" t="str">
        <f>_xlfn.XLOOKUP($A35,'RAG'!$A:$A,'RAG'!G:G," ")</f>
        <v xml:space="preserve"> </v>
      </c>
      <c r="I35" s="43" t="str">
        <f>_xlfn.XLOOKUP($A35,'RAG'!$A:$A,'RAG'!H:H," ")</f>
        <v xml:space="preserve"> </v>
      </c>
      <c r="J35" s="43" t="str">
        <f>_xlfn.XLOOKUP($A35,'RAG'!$A:$A,'RAG'!I:I," ")</f>
        <v xml:space="preserve"> </v>
      </c>
      <c r="K35" s="43" t="str">
        <f>_xlfn.XLOOKUP($A35,'RAG'!$A:$A,'RAG'!K:K," ")</f>
        <v xml:space="preserve"> </v>
      </c>
      <c r="L35" s="40" t="str">
        <f>_xlfn.XLOOKUP(A35,Projects!A:A,Projects!M:M,"")</f>
        <v/>
      </c>
      <c r="M35" s="19" t="str">
        <f>TRIM(CLEAN(_xlfn.XLOOKUP($A35,'RAG'!$A:$A,'RAG'!J:J," ")))</f>
        <v/>
      </c>
      <c r="N35" s="19" t="str">
        <f>TRIM(CLEAN(_xlfn.XLOOKUP($A35,'RAG'!$A:$A,'RAG'!M:M," ")))</f>
        <v/>
      </c>
      <c r="O35" s="19" t="str">
        <f>TRIM(CLEAN(_xlfn.XLOOKUP($A35,'RAG'!$A:$A,'RAG'!O:O," ")))</f>
        <v/>
      </c>
      <c r="P35" s="19" t="str">
        <f>TRIM(CLEAN(_xlfn.XLOOKUP($A35,'RAG'!$A:$A,'RAG'!N:N," ")))</f>
        <v/>
      </c>
    </row>
    <row r="36" spans="1:16" x14ac:dyDescent="0.3">
      <c r="A36" s="23" t="str">
        <f>IFERROR(Projects[[#This Row],[Project Name]],"")</f>
        <v/>
      </c>
      <c r="B36" s="23" t="str">
        <f>_xlfn.XLOOKUP(A36,Projects!A:A,Projects!C:C,"")</f>
        <v/>
      </c>
      <c r="C36" s="28" t="str">
        <f>_xlfn.XLOOKUP(A36,Projects!A:A,Projects!D:D," ")</f>
        <v xml:space="preserve"> </v>
      </c>
      <c r="D36" s="27" t="str">
        <f>_xlfn.XLOOKUP(A36,Projects!A:A,Projects!E:E," ")</f>
        <v xml:space="preserve"> </v>
      </c>
      <c r="E36" s="25" t="str">
        <f>_xlfn.XLOOKUP($A36,Projects!$A:$A,Projects!G:G," ")</f>
        <v xml:space="preserve"> </v>
      </c>
      <c r="F36" s="26" t="str">
        <f>_xlfn.XLOOKUP($A36,Projects!$A:$A,Projects!H:H," ")</f>
        <v xml:space="preserve"> </v>
      </c>
      <c r="G36" s="42" t="str">
        <f>_xlfn.XLOOKUP($A36,Projects!$A:$A,Projects!F:F," ")</f>
        <v xml:space="preserve"> </v>
      </c>
      <c r="H36" s="43" t="str">
        <f>_xlfn.XLOOKUP($A36,'RAG'!$A:$A,'RAG'!G:G," ")</f>
        <v xml:space="preserve"> </v>
      </c>
      <c r="I36" s="43" t="str">
        <f>_xlfn.XLOOKUP($A36,'RAG'!$A:$A,'RAG'!H:H," ")</f>
        <v xml:space="preserve"> </v>
      </c>
      <c r="J36" s="43" t="str">
        <f>_xlfn.XLOOKUP($A36,'RAG'!$A:$A,'RAG'!I:I," ")</f>
        <v xml:space="preserve"> </v>
      </c>
      <c r="K36" s="43" t="str">
        <f>_xlfn.XLOOKUP($A36,'RAG'!$A:$A,'RAG'!K:K," ")</f>
        <v xml:space="preserve"> </v>
      </c>
      <c r="L36" s="40" t="str">
        <f>_xlfn.XLOOKUP(A36,Projects!A:A,Projects!M:M,"")</f>
        <v/>
      </c>
      <c r="M36" s="19" t="str">
        <f>TRIM(CLEAN(_xlfn.XLOOKUP($A36,'RAG'!$A:$A,'RAG'!J:J," ")))</f>
        <v/>
      </c>
      <c r="N36" s="19" t="str">
        <f>TRIM(CLEAN(_xlfn.XLOOKUP($A36,'RAG'!$A:$A,'RAG'!M:M," ")))</f>
        <v/>
      </c>
      <c r="O36" s="19" t="str">
        <f>TRIM(CLEAN(_xlfn.XLOOKUP($A36,'RAG'!$A:$A,'RAG'!O:O," ")))</f>
        <v/>
      </c>
      <c r="P36" s="19" t="str">
        <f>TRIM(CLEAN(_xlfn.XLOOKUP($A36,'RAG'!$A:$A,'RAG'!N:N," ")))</f>
        <v/>
      </c>
    </row>
    <row r="37" spans="1:16" x14ac:dyDescent="0.3">
      <c r="A37" s="23" t="str">
        <f>IFERROR(Projects[[#This Row],[Project Name]],"")</f>
        <v/>
      </c>
      <c r="B37" s="23" t="str">
        <f>_xlfn.XLOOKUP(A37,Projects!A:A,Projects!C:C,"")</f>
        <v/>
      </c>
      <c r="C37" s="28" t="str">
        <f>_xlfn.XLOOKUP(A37,Projects!A:A,Projects!D:D," ")</f>
        <v xml:space="preserve"> </v>
      </c>
      <c r="D37" s="27" t="str">
        <f>_xlfn.XLOOKUP(A37,Projects!A:A,Projects!E:E," ")</f>
        <v xml:space="preserve"> </v>
      </c>
      <c r="E37" s="25" t="str">
        <f>_xlfn.XLOOKUP($A37,Projects!$A:$A,Projects!G:G," ")</f>
        <v xml:space="preserve"> </v>
      </c>
      <c r="F37" s="26" t="str">
        <f>_xlfn.XLOOKUP($A37,Projects!$A:$A,Projects!H:H," ")</f>
        <v xml:space="preserve"> </v>
      </c>
      <c r="G37" s="42" t="str">
        <f>_xlfn.XLOOKUP($A37,Projects!$A:$A,Projects!F:F," ")</f>
        <v xml:space="preserve"> </v>
      </c>
      <c r="H37" s="43" t="str">
        <f>_xlfn.XLOOKUP($A37,'RAG'!$A:$A,'RAG'!G:G," ")</f>
        <v xml:space="preserve"> </v>
      </c>
      <c r="I37" s="43" t="str">
        <f>_xlfn.XLOOKUP($A37,'RAG'!$A:$A,'RAG'!H:H," ")</f>
        <v xml:space="preserve"> </v>
      </c>
      <c r="J37" s="43" t="str">
        <f>_xlfn.XLOOKUP($A37,'RAG'!$A:$A,'RAG'!I:I," ")</f>
        <v xml:space="preserve"> </v>
      </c>
      <c r="K37" s="43" t="str">
        <f>_xlfn.XLOOKUP($A37,'RAG'!$A:$A,'RAG'!K:K," ")</f>
        <v xml:space="preserve"> </v>
      </c>
      <c r="L37" s="40" t="str">
        <f>_xlfn.XLOOKUP(A37,Projects!A:A,Projects!M:M,"")</f>
        <v/>
      </c>
      <c r="M37" s="19" t="str">
        <f>TRIM(CLEAN(_xlfn.XLOOKUP($A37,'RAG'!$A:$A,'RAG'!J:J," ")))</f>
        <v/>
      </c>
      <c r="N37" s="19" t="str">
        <f>TRIM(CLEAN(_xlfn.XLOOKUP($A37,'RAG'!$A:$A,'RAG'!M:M," ")))</f>
        <v/>
      </c>
      <c r="O37" s="19" t="str">
        <f>TRIM(CLEAN(_xlfn.XLOOKUP($A37,'RAG'!$A:$A,'RAG'!O:O," ")))</f>
        <v/>
      </c>
      <c r="P37" s="19" t="str">
        <f>TRIM(CLEAN(_xlfn.XLOOKUP($A37,'RAG'!$A:$A,'RAG'!N:N," ")))</f>
        <v/>
      </c>
    </row>
    <row r="38" spans="1:16" x14ac:dyDescent="0.3">
      <c r="A38" s="23" t="str">
        <f>IFERROR(Projects[[#This Row],[Project Name]],"")</f>
        <v/>
      </c>
      <c r="B38" s="23" t="str">
        <f>_xlfn.XLOOKUP(A38,Projects!A:A,Projects!C:C,"")</f>
        <v/>
      </c>
      <c r="C38" s="28" t="str">
        <f>_xlfn.XLOOKUP(A38,Projects!A:A,Projects!D:D," ")</f>
        <v xml:space="preserve"> </v>
      </c>
      <c r="D38" s="27" t="str">
        <f>_xlfn.XLOOKUP(A38,Projects!A:A,Projects!E:E," ")</f>
        <v xml:space="preserve"> </v>
      </c>
      <c r="E38" s="25" t="str">
        <f>_xlfn.XLOOKUP($A38,Projects!$A:$A,Projects!G:G," ")</f>
        <v xml:space="preserve"> </v>
      </c>
      <c r="F38" s="26" t="str">
        <f>_xlfn.XLOOKUP($A38,Projects!$A:$A,Projects!H:H," ")</f>
        <v xml:space="preserve"> </v>
      </c>
      <c r="G38" s="42" t="str">
        <f>_xlfn.XLOOKUP($A38,Projects!$A:$A,Projects!F:F," ")</f>
        <v xml:space="preserve"> </v>
      </c>
      <c r="H38" s="43" t="str">
        <f>_xlfn.XLOOKUP($A38,'RAG'!$A:$A,'RAG'!G:G," ")</f>
        <v xml:space="preserve"> </v>
      </c>
      <c r="I38" s="43" t="str">
        <f>_xlfn.XLOOKUP($A38,'RAG'!$A:$A,'RAG'!H:H," ")</f>
        <v xml:space="preserve"> </v>
      </c>
      <c r="J38" s="43" t="str">
        <f>_xlfn.XLOOKUP($A38,'RAG'!$A:$A,'RAG'!I:I," ")</f>
        <v xml:space="preserve"> </v>
      </c>
      <c r="K38" s="43" t="str">
        <f>_xlfn.XLOOKUP($A38,'RAG'!$A:$A,'RAG'!K:K," ")</f>
        <v xml:space="preserve"> </v>
      </c>
      <c r="L38" s="40" t="str">
        <f>_xlfn.XLOOKUP(A38,Projects!A:A,Projects!M:M,"")</f>
        <v/>
      </c>
      <c r="M38" s="19" t="str">
        <f>TRIM(CLEAN(_xlfn.XLOOKUP($A38,'RAG'!$A:$A,'RAG'!J:J," ")))</f>
        <v/>
      </c>
      <c r="N38" s="19" t="str">
        <f>TRIM(CLEAN(_xlfn.XLOOKUP($A38,'RAG'!$A:$A,'RAG'!M:M," ")))</f>
        <v/>
      </c>
      <c r="O38" s="19" t="str">
        <f>TRIM(CLEAN(_xlfn.XLOOKUP($A38,'RAG'!$A:$A,'RAG'!O:O," ")))</f>
        <v/>
      </c>
      <c r="P38" s="19" t="str">
        <f>TRIM(CLEAN(_xlfn.XLOOKUP($A38,'RAG'!$A:$A,'RAG'!N:N," ")))</f>
        <v/>
      </c>
    </row>
    <row r="39" spans="1:16" x14ac:dyDescent="0.3">
      <c r="A39" s="23" t="str">
        <f>IFERROR(Projects[[#This Row],[Project Name]],"")</f>
        <v/>
      </c>
      <c r="B39" s="23" t="str">
        <f>_xlfn.XLOOKUP(A39,Projects!A:A,Projects!C:C,"")</f>
        <v/>
      </c>
      <c r="C39" s="28" t="str">
        <f>_xlfn.XLOOKUP(A39,Projects!A:A,Projects!D:D," ")</f>
        <v xml:space="preserve"> </v>
      </c>
      <c r="D39" s="27" t="str">
        <f>_xlfn.XLOOKUP(A39,Projects!A:A,Projects!E:E," ")</f>
        <v xml:space="preserve"> </v>
      </c>
      <c r="E39" s="25" t="str">
        <f>_xlfn.XLOOKUP($A39,Projects!$A:$A,Projects!G:G," ")</f>
        <v xml:space="preserve"> </v>
      </c>
      <c r="F39" s="26" t="str">
        <f>_xlfn.XLOOKUP($A39,Projects!$A:$A,Projects!H:H," ")</f>
        <v xml:space="preserve"> </v>
      </c>
      <c r="G39" s="42" t="str">
        <f>_xlfn.XLOOKUP($A39,Projects!$A:$A,Projects!F:F," ")</f>
        <v xml:space="preserve"> </v>
      </c>
      <c r="H39" s="43" t="str">
        <f>_xlfn.XLOOKUP($A39,'RAG'!$A:$A,'RAG'!G:G," ")</f>
        <v xml:space="preserve"> </v>
      </c>
      <c r="I39" s="43" t="str">
        <f>_xlfn.XLOOKUP($A39,'RAG'!$A:$A,'RAG'!H:H," ")</f>
        <v xml:space="preserve"> </v>
      </c>
      <c r="J39" s="43" t="str">
        <f>_xlfn.XLOOKUP($A39,'RAG'!$A:$A,'RAG'!I:I," ")</f>
        <v xml:space="preserve"> </v>
      </c>
      <c r="K39" s="43" t="str">
        <f>_xlfn.XLOOKUP($A39,'RAG'!$A:$A,'RAG'!K:K," ")</f>
        <v xml:space="preserve"> </v>
      </c>
      <c r="L39" s="40" t="str">
        <f>_xlfn.XLOOKUP(A39,Projects!A:A,Projects!M:M,"")</f>
        <v/>
      </c>
      <c r="M39" s="19" t="str">
        <f>TRIM(CLEAN(_xlfn.XLOOKUP($A39,'RAG'!$A:$A,'RAG'!J:J," ")))</f>
        <v/>
      </c>
      <c r="N39" s="19" t="str">
        <f>TRIM(CLEAN(_xlfn.XLOOKUP($A39,'RAG'!$A:$A,'RAG'!M:M," ")))</f>
        <v/>
      </c>
      <c r="O39" s="19" t="str">
        <f>TRIM(CLEAN(_xlfn.XLOOKUP($A39,'RAG'!$A:$A,'RAG'!O:O," ")))</f>
        <v/>
      </c>
      <c r="P39" s="19" t="str">
        <f>TRIM(CLEAN(_xlfn.XLOOKUP($A39,'RAG'!$A:$A,'RAG'!N:N," ")))</f>
        <v/>
      </c>
    </row>
    <row r="40" spans="1:16" x14ac:dyDescent="0.3">
      <c r="A40" s="23" t="str">
        <f>IFERROR(Projects[[#This Row],[Project Name]],"")</f>
        <v/>
      </c>
      <c r="B40" s="23" t="str">
        <f>_xlfn.XLOOKUP(A40,Projects!A:A,Projects!C:C,"")</f>
        <v/>
      </c>
      <c r="C40" s="28" t="str">
        <f>_xlfn.XLOOKUP(A40,Projects!A:A,Projects!D:D," ")</f>
        <v xml:space="preserve"> </v>
      </c>
      <c r="D40" s="27" t="str">
        <f>_xlfn.XLOOKUP(A40,Projects!A:A,Projects!E:E," ")</f>
        <v xml:space="preserve"> </v>
      </c>
      <c r="E40" s="25" t="str">
        <f>_xlfn.XLOOKUP($A40,Projects!$A:$A,Projects!G:G," ")</f>
        <v xml:space="preserve"> </v>
      </c>
      <c r="F40" s="26" t="str">
        <f>_xlfn.XLOOKUP($A40,Projects!$A:$A,Projects!H:H," ")</f>
        <v xml:space="preserve"> </v>
      </c>
      <c r="G40" s="42" t="str">
        <f>_xlfn.XLOOKUP($A40,Projects!$A:$A,Projects!F:F," ")</f>
        <v xml:space="preserve"> </v>
      </c>
      <c r="H40" s="43" t="str">
        <f>_xlfn.XLOOKUP($A40,'RAG'!$A:$A,'RAG'!G:G," ")</f>
        <v xml:space="preserve"> </v>
      </c>
      <c r="I40" s="43" t="str">
        <f>_xlfn.XLOOKUP($A40,'RAG'!$A:$A,'RAG'!H:H," ")</f>
        <v xml:space="preserve"> </v>
      </c>
      <c r="J40" s="43" t="str">
        <f>_xlfn.XLOOKUP($A40,'RAG'!$A:$A,'RAG'!I:I," ")</f>
        <v xml:space="preserve"> </v>
      </c>
      <c r="K40" s="43" t="str">
        <f>_xlfn.XLOOKUP($A40,'RAG'!$A:$A,'RAG'!K:K," ")</f>
        <v xml:space="preserve"> </v>
      </c>
      <c r="L40" s="40" t="str">
        <f>_xlfn.XLOOKUP(A40,Projects!A:A,Projects!M:M,"")</f>
        <v/>
      </c>
      <c r="M40" s="19" t="str">
        <f>TRIM(CLEAN(_xlfn.XLOOKUP($A40,'RAG'!$A:$A,'RAG'!J:J," ")))</f>
        <v/>
      </c>
      <c r="N40" s="19" t="str">
        <f>TRIM(CLEAN(_xlfn.XLOOKUP($A40,'RAG'!$A:$A,'RAG'!M:M," ")))</f>
        <v/>
      </c>
      <c r="O40" s="19" t="str">
        <f>TRIM(CLEAN(_xlfn.XLOOKUP($A40,'RAG'!$A:$A,'RAG'!O:O," ")))</f>
        <v/>
      </c>
      <c r="P40" s="19" t="str">
        <f>TRIM(CLEAN(_xlfn.XLOOKUP($A40,'RAG'!$A:$A,'RAG'!N:N," ")))</f>
        <v/>
      </c>
    </row>
    <row r="41" spans="1:16" x14ac:dyDescent="0.3">
      <c r="A41" s="23" t="str">
        <f>IFERROR(Projects[[#This Row],[Project Name]],"")</f>
        <v/>
      </c>
      <c r="B41" s="23" t="str">
        <f>_xlfn.XLOOKUP(A41,Projects!A:A,Projects!C:C,"")</f>
        <v/>
      </c>
      <c r="C41" s="28" t="str">
        <f>_xlfn.XLOOKUP(A41,Projects!A:A,Projects!D:D," ")</f>
        <v xml:space="preserve"> </v>
      </c>
      <c r="D41" s="27" t="str">
        <f>_xlfn.XLOOKUP(A41,Projects!A:A,Projects!E:E," ")</f>
        <v xml:space="preserve"> </v>
      </c>
      <c r="E41" s="25" t="str">
        <f>_xlfn.XLOOKUP($A41,Projects!$A:$A,Projects!G:G," ")</f>
        <v xml:space="preserve"> </v>
      </c>
      <c r="F41" s="26" t="str">
        <f>_xlfn.XLOOKUP($A41,Projects!$A:$A,Projects!H:H," ")</f>
        <v xml:space="preserve"> </v>
      </c>
      <c r="G41" s="42" t="str">
        <f>_xlfn.XLOOKUP($A41,Projects!$A:$A,Projects!F:F," ")</f>
        <v xml:space="preserve"> </v>
      </c>
      <c r="H41" s="43" t="str">
        <f>_xlfn.XLOOKUP($A41,'RAG'!$A:$A,'RAG'!G:G," ")</f>
        <v xml:space="preserve"> </v>
      </c>
      <c r="I41" s="43" t="str">
        <f>_xlfn.XLOOKUP($A41,'RAG'!$A:$A,'RAG'!H:H," ")</f>
        <v xml:space="preserve"> </v>
      </c>
      <c r="J41" s="43" t="str">
        <f>_xlfn.XLOOKUP($A41,'RAG'!$A:$A,'RAG'!I:I," ")</f>
        <v xml:space="preserve"> </v>
      </c>
      <c r="K41" s="43" t="str">
        <f>_xlfn.XLOOKUP($A41,'RAG'!$A:$A,'RAG'!K:K," ")</f>
        <v xml:space="preserve"> </v>
      </c>
      <c r="L41" s="40" t="str">
        <f>_xlfn.XLOOKUP(A41,Projects!A:A,Projects!M:M,"")</f>
        <v/>
      </c>
      <c r="M41" s="19" t="str">
        <f>TRIM(CLEAN(_xlfn.XLOOKUP($A41,'RAG'!$A:$A,'RAG'!J:J," ")))</f>
        <v/>
      </c>
      <c r="N41" s="19" t="str">
        <f>TRIM(CLEAN(_xlfn.XLOOKUP($A41,'RAG'!$A:$A,'RAG'!M:M," ")))</f>
        <v/>
      </c>
      <c r="O41" s="19" t="str">
        <f>TRIM(CLEAN(_xlfn.XLOOKUP($A41,'RAG'!$A:$A,'RAG'!O:O," ")))</f>
        <v/>
      </c>
      <c r="P41" s="19" t="str">
        <f>TRIM(CLEAN(_xlfn.XLOOKUP($A41,'RAG'!$A:$A,'RAG'!N:N," ")))</f>
        <v/>
      </c>
    </row>
    <row r="42" spans="1:16" x14ac:dyDescent="0.3">
      <c r="A42" s="23" t="str">
        <f>IFERROR(Projects[[#This Row],[Project Name]],"")</f>
        <v/>
      </c>
      <c r="B42" s="23" t="str">
        <f>_xlfn.XLOOKUP(A42,Projects!A:A,Projects!C:C,"")</f>
        <v/>
      </c>
      <c r="C42" s="28" t="str">
        <f>_xlfn.XLOOKUP(A42,Projects!A:A,Projects!D:D," ")</f>
        <v xml:space="preserve"> </v>
      </c>
      <c r="D42" s="27" t="str">
        <f>_xlfn.XLOOKUP(A42,Projects!A:A,Projects!E:E," ")</f>
        <v xml:space="preserve"> </v>
      </c>
      <c r="E42" s="25" t="str">
        <f>_xlfn.XLOOKUP($A42,Projects!$A:$A,Projects!G:G," ")</f>
        <v xml:space="preserve"> </v>
      </c>
      <c r="F42" s="26" t="str">
        <f>_xlfn.XLOOKUP($A42,Projects!$A:$A,Projects!H:H," ")</f>
        <v xml:space="preserve"> </v>
      </c>
      <c r="G42" s="42" t="str">
        <f>_xlfn.XLOOKUP($A42,Projects!$A:$A,Projects!F:F," ")</f>
        <v xml:space="preserve"> </v>
      </c>
      <c r="H42" s="43" t="str">
        <f>_xlfn.XLOOKUP($A42,'RAG'!$A:$A,'RAG'!G:G," ")</f>
        <v xml:space="preserve"> </v>
      </c>
      <c r="I42" s="43" t="str">
        <f>_xlfn.XLOOKUP($A42,'RAG'!$A:$A,'RAG'!H:H," ")</f>
        <v xml:space="preserve"> </v>
      </c>
      <c r="J42" s="43" t="str">
        <f>_xlfn.XLOOKUP($A42,'RAG'!$A:$A,'RAG'!I:I," ")</f>
        <v xml:space="preserve"> </v>
      </c>
      <c r="K42" s="43" t="str">
        <f>_xlfn.XLOOKUP($A42,'RAG'!$A:$A,'RAG'!K:K," ")</f>
        <v xml:space="preserve"> </v>
      </c>
      <c r="L42" s="40" t="str">
        <f>_xlfn.XLOOKUP(A42,Projects!A:A,Projects!M:M,"")</f>
        <v/>
      </c>
      <c r="M42" s="19" t="str">
        <f>TRIM(CLEAN(_xlfn.XLOOKUP($A42,'RAG'!$A:$A,'RAG'!J:J," ")))</f>
        <v/>
      </c>
      <c r="N42" s="19" t="str">
        <f>TRIM(CLEAN(_xlfn.XLOOKUP($A42,'RAG'!$A:$A,'RAG'!M:M," ")))</f>
        <v/>
      </c>
      <c r="O42" s="19" t="str">
        <f>TRIM(CLEAN(_xlfn.XLOOKUP($A42,'RAG'!$A:$A,'RAG'!O:O," ")))</f>
        <v/>
      </c>
      <c r="P42" s="19" t="str">
        <f>TRIM(CLEAN(_xlfn.XLOOKUP($A42,'RAG'!$A:$A,'RAG'!N:N," ")))</f>
        <v/>
      </c>
    </row>
    <row r="43" spans="1:16" x14ac:dyDescent="0.3">
      <c r="A43" s="23" t="str">
        <f>IFERROR(Projects[[#This Row],[Project Name]],"")</f>
        <v/>
      </c>
      <c r="B43" s="23" t="str">
        <f>_xlfn.XLOOKUP(A43,Projects!A:A,Projects!C:C,"")</f>
        <v/>
      </c>
      <c r="C43" s="28" t="str">
        <f>_xlfn.XLOOKUP(A43,Projects!A:A,Projects!D:D," ")</f>
        <v xml:space="preserve"> </v>
      </c>
      <c r="D43" s="27" t="str">
        <f>_xlfn.XLOOKUP(A43,Projects!A:A,Projects!E:E," ")</f>
        <v xml:space="preserve"> </v>
      </c>
      <c r="E43" s="25" t="str">
        <f>_xlfn.XLOOKUP($A43,Projects!$A:$A,Projects!G:G," ")</f>
        <v xml:space="preserve"> </v>
      </c>
      <c r="F43" s="26" t="str">
        <f>_xlfn.XLOOKUP($A43,Projects!$A:$A,Projects!H:H," ")</f>
        <v xml:space="preserve"> </v>
      </c>
      <c r="G43" s="42" t="str">
        <f>_xlfn.XLOOKUP($A43,Projects!$A:$A,Projects!F:F," ")</f>
        <v xml:space="preserve"> </v>
      </c>
      <c r="H43" s="43" t="str">
        <f>_xlfn.XLOOKUP($A43,'RAG'!$A:$A,'RAG'!G:G," ")</f>
        <v xml:space="preserve"> </v>
      </c>
      <c r="I43" s="43" t="str">
        <f>_xlfn.XLOOKUP($A43,'RAG'!$A:$A,'RAG'!H:H," ")</f>
        <v xml:space="preserve"> </v>
      </c>
      <c r="J43" s="43" t="str">
        <f>_xlfn.XLOOKUP($A43,'RAG'!$A:$A,'RAG'!I:I," ")</f>
        <v xml:space="preserve"> </v>
      </c>
      <c r="K43" s="43" t="str">
        <f>_xlfn.XLOOKUP($A43,'RAG'!$A:$A,'RAG'!K:K," ")</f>
        <v xml:space="preserve"> </v>
      </c>
      <c r="L43" s="40" t="str">
        <f>_xlfn.XLOOKUP(A43,Projects!A:A,Projects!M:M,"")</f>
        <v/>
      </c>
      <c r="M43" s="19" t="str">
        <f>TRIM(CLEAN(_xlfn.XLOOKUP($A43,'RAG'!$A:$A,'RAG'!J:J," ")))</f>
        <v/>
      </c>
      <c r="N43" s="19" t="str">
        <f>TRIM(CLEAN(_xlfn.XLOOKUP($A43,'RAG'!$A:$A,'RAG'!M:M," ")))</f>
        <v/>
      </c>
      <c r="O43" s="19" t="str">
        <f>TRIM(CLEAN(_xlfn.XLOOKUP($A43,'RAG'!$A:$A,'RAG'!O:O," ")))</f>
        <v/>
      </c>
      <c r="P43" s="19" t="str">
        <f>TRIM(CLEAN(_xlfn.XLOOKUP($A43,'RAG'!$A:$A,'RAG'!N:N," ")))</f>
        <v/>
      </c>
    </row>
    <row r="44" spans="1:16" x14ac:dyDescent="0.3">
      <c r="A44" s="23" t="str">
        <f>IFERROR(Projects[[#This Row],[Project Name]],"")</f>
        <v/>
      </c>
      <c r="B44" s="23" t="str">
        <f>_xlfn.XLOOKUP(A44,Projects!A:A,Projects!C:C,"")</f>
        <v/>
      </c>
      <c r="C44" s="28" t="str">
        <f>_xlfn.XLOOKUP(A44,Projects!A:A,Projects!D:D," ")</f>
        <v xml:space="preserve"> </v>
      </c>
      <c r="D44" s="27" t="str">
        <f>_xlfn.XLOOKUP(A44,Projects!A:A,Projects!E:E," ")</f>
        <v xml:space="preserve"> </v>
      </c>
      <c r="E44" s="25" t="str">
        <f>_xlfn.XLOOKUP($A44,Projects!$A:$A,Projects!G:G," ")</f>
        <v xml:space="preserve"> </v>
      </c>
      <c r="F44" s="26" t="str">
        <f>_xlfn.XLOOKUP($A44,Projects!$A:$A,Projects!H:H," ")</f>
        <v xml:space="preserve"> </v>
      </c>
      <c r="G44" s="42" t="str">
        <f>_xlfn.XLOOKUP($A44,Projects!$A:$A,Projects!F:F," ")</f>
        <v xml:space="preserve"> </v>
      </c>
      <c r="H44" s="43" t="str">
        <f>_xlfn.XLOOKUP($A44,'RAG'!$A:$A,'RAG'!G:G," ")</f>
        <v xml:space="preserve"> </v>
      </c>
      <c r="I44" s="43" t="str">
        <f>_xlfn.XLOOKUP($A44,'RAG'!$A:$A,'RAG'!H:H," ")</f>
        <v xml:space="preserve"> </v>
      </c>
      <c r="J44" s="43" t="str">
        <f>_xlfn.XLOOKUP($A44,'RAG'!$A:$A,'RAG'!I:I," ")</f>
        <v xml:space="preserve"> </v>
      </c>
      <c r="K44" s="43" t="str">
        <f>_xlfn.XLOOKUP($A44,'RAG'!$A:$A,'RAG'!K:K," ")</f>
        <v xml:space="preserve"> </v>
      </c>
      <c r="L44" s="40" t="str">
        <f>_xlfn.XLOOKUP(A44,Projects!A:A,Projects!M:M,"")</f>
        <v/>
      </c>
      <c r="M44" s="19" t="str">
        <f>TRIM(CLEAN(_xlfn.XLOOKUP($A44,'RAG'!$A:$A,'RAG'!J:J," ")))</f>
        <v/>
      </c>
      <c r="N44" s="19" t="str">
        <f>TRIM(CLEAN(_xlfn.XLOOKUP($A44,'RAG'!$A:$A,'RAG'!M:M," ")))</f>
        <v/>
      </c>
      <c r="O44" s="19" t="str">
        <f>TRIM(CLEAN(_xlfn.XLOOKUP($A44,'RAG'!$A:$A,'RAG'!O:O," ")))</f>
        <v/>
      </c>
      <c r="P44" s="19" t="str">
        <f>TRIM(CLEAN(_xlfn.XLOOKUP($A44,'RAG'!$A:$A,'RAG'!N:N," ")))</f>
        <v/>
      </c>
    </row>
    <row r="45" spans="1:16" x14ac:dyDescent="0.3">
      <c r="A45" s="23" t="str">
        <f>IFERROR(Projects[[#This Row],[Project Name]],"")</f>
        <v/>
      </c>
      <c r="B45" s="23" t="str">
        <f>_xlfn.XLOOKUP(A45,Projects!A:A,Projects!C:C,"")</f>
        <v/>
      </c>
      <c r="C45" s="28" t="str">
        <f>_xlfn.XLOOKUP(A45,Projects!A:A,Projects!D:D," ")</f>
        <v xml:space="preserve"> </v>
      </c>
      <c r="D45" s="27" t="str">
        <f>_xlfn.XLOOKUP(A45,Projects!A:A,Projects!E:E," ")</f>
        <v xml:space="preserve"> </v>
      </c>
      <c r="E45" s="25" t="str">
        <f>_xlfn.XLOOKUP($A45,Projects!$A:$A,Projects!G:G," ")</f>
        <v xml:space="preserve"> </v>
      </c>
      <c r="F45" s="26" t="str">
        <f>_xlfn.XLOOKUP($A45,Projects!$A:$A,Projects!H:H," ")</f>
        <v xml:space="preserve"> </v>
      </c>
      <c r="G45" s="42" t="str">
        <f>_xlfn.XLOOKUP($A45,Projects!$A:$A,Projects!F:F," ")</f>
        <v xml:space="preserve"> </v>
      </c>
      <c r="H45" s="43" t="str">
        <f>_xlfn.XLOOKUP($A45,'RAG'!$A:$A,'RAG'!G:G," ")</f>
        <v xml:space="preserve"> </v>
      </c>
      <c r="I45" s="43" t="str">
        <f>_xlfn.XLOOKUP($A45,'RAG'!$A:$A,'RAG'!H:H," ")</f>
        <v xml:space="preserve"> </v>
      </c>
      <c r="J45" s="43" t="str">
        <f>_xlfn.XLOOKUP($A45,'RAG'!$A:$A,'RAG'!I:I," ")</f>
        <v xml:space="preserve"> </v>
      </c>
      <c r="K45" s="43" t="str">
        <f>_xlfn.XLOOKUP($A45,'RAG'!$A:$A,'RAG'!K:K," ")</f>
        <v xml:space="preserve"> </v>
      </c>
      <c r="L45" s="40" t="str">
        <f>_xlfn.XLOOKUP(A45,Projects!A:A,Projects!M:M,"")</f>
        <v/>
      </c>
      <c r="M45" s="19" t="str">
        <f>TRIM(CLEAN(_xlfn.XLOOKUP($A45,'RAG'!$A:$A,'RAG'!J:J," ")))</f>
        <v/>
      </c>
      <c r="N45" s="19" t="str">
        <f>TRIM(CLEAN(_xlfn.XLOOKUP($A45,'RAG'!$A:$A,'RAG'!M:M," ")))</f>
        <v/>
      </c>
      <c r="O45" s="19" t="str">
        <f>TRIM(CLEAN(_xlfn.XLOOKUP($A45,'RAG'!$A:$A,'RAG'!O:O," ")))</f>
        <v/>
      </c>
      <c r="P45" s="19" t="str">
        <f>TRIM(CLEAN(_xlfn.XLOOKUP($A45,'RAG'!$A:$A,'RAG'!N:N," ")))</f>
        <v/>
      </c>
    </row>
  </sheetData>
  <autoFilter ref="A1:P45" xr:uid="{85EE9956-410B-4125-919F-B2225F9080BD}"/>
  <conditionalFormatting sqref="D1:D1048576">
    <cfRule type="dataBar" priority="1">
      <dataBar>
        <cfvo type="min"/>
        <cfvo type="max"/>
        <color rgb="FFFFB628"/>
      </dataBar>
      <extLst>
        <ext xmlns:x14="http://schemas.microsoft.com/office/spreadsheetml/2009/9/main" uri="{B025F937-C7B1-47D3-B67F-A62EFF666E3E}">
          <x14:id>{FA9A2AD9-BFB8-4B7B-9D7B-469CB3CF0C62}</x14:id>
        </ext>
      </extLst>
    </cfRule>
  </conditionalFormatting>
  <conditionalFormatting sqref="H1:J1 G46:M1048576 G2:L45">
    <cfRule type="containsText" dxfId="102" priority="3" operator="containsText" text="Y">
      <formula>NOT(ISERROR(SEARCH("Y",G1)))</formula>
    </cfRule>
    <cfRule type="containsText" dxfId="101" priority="4" operator="containsText" text="R">
      <formula>NOT(ISERROR(SEARCH("R",G1)))</formula>
    </cfRule>
    <cfRule type="containsText" dxfId="100" priority="5" operator="containsText" text="G">
      <formula>NOT(ISERROR(SEARCH("G",G1)))</formula>
    </cfRule>
  </conditionalFormatting>
  <pageMargins left="0.7" right="0.7" top="0.75" bottom="0.75" header="0.3" footer="0.3"/>
  <pageSetup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FA9A2AD9-BFB8-4B7B-9D7B-469CB3CF0C62}">
            <x14:dataBar minLength="0" maxLength="100" gradient="0">
              <x14:cfvo type="autoMin"/>
              <x14:cfvo type="autoMax"/>
              <x14:negativeFillColor rgb="FFFF0000"/>
              <x14:axisColor rgb="FF000000"/>
            </x14:dataBar>
          </x14:cfRule>
          <xm:sqref>D1:D1048576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3FB80-C8D9-4697-9542-BFA7DCF70E8F}">
  <sheetPr codeName="Sheet3">
    <tabColor rgb="FF7030A0"/>
  </sheetPr>
  <dimension ref="A1:M143"/>
  <sheetViews>
    <sheetView workbookViewId="0">
      <selection sqref="A1:K143"/>
    </sheetView>
  </sheetViews>
  <sheetFormatPr defaultColWidth="17" defaultRowHeight="13.8" x14ac:dyDescent="0.3"/>
  <cols>
    <col min="1" max="1" width="21.5546875" style="18" bestFit="1" customWidth="1"/>
    <col min="2" max="2" width="44.77734375" style="6" bestFit="1" customWidth="1"/>
    <col min="3" max="3" width="18.33203125" style="6" bestFit="1" customWidth="1"/>
    <col min="4" max="4" width="17.109375" style="6" bestFit="1" customWidth="1"/>
    <col min="5" max="5" width="15.6640625" style="6" bestFit="1" customWidth="1"/>
    <col min="6" max="6" width="15.33203125" style="6" bestFit="1" customWidth="1"/>
    <col min="7" max="7" width="17.33203125" style="6" bestFit="1" customWidth="1"/>
    <col min="8" max="8" width="10.77734375" style="6" bestFit="1" customWidth="1"/>
    <col min="9" max="9" width="18.109375" style="6" bestFit="1" customWidth="1"/>
    <col min="10" max="10" width="27.44140625" style="22" bestFit="1" customWidth="1"/>
    <col min="11" max="11" width="16.5546875" style="6" bestFit="1" customWidth="1"/>
    <col min="12" max="12" width="16.5546875" style="8" bestFit="1" customWidth="1"/>
    <col min="13" max="13" width="16.6640625" style="20" bestFit="1" customWidth="1"/>
    <col min="14" max="14" width="16.5546875" style="6" bestFit="1" customWidth="1"/>
    <col min="15" max="15" width="33" style="6" customWidth="1"/>
    <col min="16" max="16384" width="17" style="6"/>
  </cols>
  <sheetData>
    <row r="1" spans="1:13" x14ac:dyDescent="0.3">
      <c r="A1" s="4" t="s">
        <v>5</v>
      </c>
      <c r="B1" s="4" t="s">
        <v>29</v>
      </c>
      <c r="C1" s="4" t="s">
        <v>30</v>
      </c>
      <c r="D1" s="4" t="s">
        <v>31</v>
      </c>
      <c r="E1" s="4" t="s">
        <v>32</v>
      </c>
      <c r="F1" s="4" t="s">
        <v>33</v>
      </c>
      <c r="G1" s="4" t="s">
        <v>34</v>
      </c>
      <c r="H1" s="4" t="s">
        <v>36</v>
      </c>
      <c r="I1" s="21" t="s">
        <v>35</v>
      </c>
      <c r="J1" s="5" t="s">
        <v>64</v>
      </c>
      <c r="K1" s="5" t="s">
        <v>61</v>
      </c>
      <c r="L1" s="6"/>
      <c r="M1" s="6"/>
    </row>
    <row r="2" spans="1:13" ht="14.4" x14ac:dyDescent="0.3">
      <c r="A2" s="20" t="s">
        <v>177</v>
      </c>
      <c r="B2" s="56" t="s">
        <v>175</v>
      </c>
      <c r="C2" s="20" t="s">
        <v>172</v>
      </c>
      <c r="D2" s="7">
        <v>45471</v>
      </c>
      <c r="E2" s="7">
        <v>45471</v>
      </c>
      <c r="F2" s="46" t="s">
        <v>4</v>
      </c>
      <c r="G2" s="49">
        <v>1</v>
      </c>
      <c r="H2" t="s">
        <v>78</v>
      </c>
      <c r="I2" s="22" t="str">
        <f ca="1">IF(Milestones[[#This Row],[Percent complete]]=100%,"",IF(TODAY()&gt;Milestones[[#This Row],[Planned end date]],_xlfn.TEXTJOIN(" by ",TRUE,"Breached",TODAY()-D2)&amp;" days",""))</f>
        <v/>
      </c>
      <c r="J2" s="46" t="str">
        <f t="shared" ref="J2:J33" ca="1" si="0">IF(AND(E2&lt;&gt;"",E2&gt;=TODAY()-21, E2&lt;=TODAY()),TRUE,"")</f>
        <v/>
      </c>
      <c r="K2" s="46" t="str">
        <f ca="1">IF(Milestones[[#This Row],[State]]="Closed Complete","",IF(YEAR(D2)&amp;"-"&amp;TEXT(WEEKNUM(D2,2),"00")&lt;YEAR(TODAY())&amp;"-"&amp;TEXT(WEEKNUM(TODAY(),2),"00"),"Breached","To be completed"))</f>
        <v/>
      </c>
      <c r="L2" s="6"/>
      <c r="M2" s="6"/>
    </row>
    <row r="3" spans="1:13" ht="14.4" x14ac:dyDescent="0.3">
      <c r="A3" s="20" t="s">
        <v>177</v>
      </c>
      <c r="B3" s="56" t="s">
        <v>175</v>
      </c>
      <c r="C3" s="20" t="s">
        <v>172</v>
      </c>
      <c r="D3" s="7">
        <v>45656</v>
      </c>
      <c r="E3" s="7">
        <v>45694</v>
      </c>
      <c r="F3" s="46" t="s">
        <v>4</v>
      </c>
      <c r="G3" s="49">
        <v>1</v>
      </c>
      <c r="H3" t="s">
        <v>78</v>
      </c>
      <c r="I3" s="22" t="str">
        <f ca="1">IF(Milestones[[#This Row],[Percent complete]]=100%,"",IF(TODAY()&gt;Milestones[[#This Row],[Planned end date]],_xlfn.TEXTJOIN(" by ",TRUE,"Breached",TODAY()-D3)&amp;" days",""))</f>
        <v/>
      </c>
      <c r="J3" s="46" t="str">
        <f t="shared" ca="1" si="0"/>
        <v/>
      </c>
      <c r="K3" s="46" t="str">
        <f ca="1">IF(Milestones[[#This Row],[State]]="Closed Complete","",IF(YEAR(D3)&amp;"-"&amp;TEXT(WEEKNUM(D3,2),"00")&lt;YEAR(TODAY())&amp;"-"&amp;TEXT(WEEKNUM(TODAY(),2),"00"),"Breached","To be completed"))</f>
        <v/>
      </c>
      <c r="L3" s="6"/>
      <c r="M3" s="6"/>
    </row>
    <row r="4" spans="1:13" ht="14.4" x14ac:dyDescent="0.3">
      <c r="A4" s="20" t="s">
        <v>177</v>
      </c>
      <c r="B4" s="56" t="s">
        <v>175</v>
      </c>
      <c r="C4" s="20" t="s">
        <v>172</v>
      </c>
      <c r="D4" s="7">
        <v>45747</v>
      </c>
      <c r="E4" s="7"/>
      <c r="F4" s="46" t="s">
        <v>9</v>
      </c>
      <c r="G4" s="49">
        <v>0</v>
      </c>
      <c r="H4" t="s">
        <v>78</v>
      </c>
      <c r="I4" s="22" t="str">
        <f ca="1">IF(Milestones[[#This Row],[Percent complete]]=100%,"",IF(TODAY()&gt;Milestones[[#This Row],[Planned end date]],_xlfn.TEXTJOIN(" by ",TRUE,"Breached",TODAY()-D4)&amp;" days",""))</f>
        <v>Breached by 22 days</v>
      </c>
      <c r="J4" s="46" t="str">
        <f t="shared" ca="1" si="0"/>
        <v/>
      </c>
      <c r="K4" s="46" t="str">
        <f ca="1">IF(Milestones[[#This Row],[State]]="Closed Complete","",IF(YEAR(D4)&amp;"-"&amp;TEXT(WEEKNUM(D4,2),"00")&lt;YEAR(TODAY())&amp;"-"&amp;TEXT(WEEKNUM(TODAY(),2),"00"),"Breached","To be completed"))</f>
        <v>Breached</v>
      </c>
      <c r="L4" s="6"/>
      <c r="M4" s="6"/>
    </row>
    <row r="5" spans="1:13" ht="14.4" x14ac:dyDescent="0.3">
      <c r="A5" s="20" t="s">
        <v>195</v>
      </c>
      <c r="B5" s="56" t="s">
        <v>175</v>
      </c>
      <c r="C5" s="20" t="s">
        <v>222</v>
      </c>
      <c r="D5" s="7">
        <v>45281</v>
      </c>
      <c r="E5" s="7">
        <v>45281</v>
      </c>
      <c r="F5" s="46" t="s">
        <v>4</v>
      </c>
      <c r="G5" s="49">
        <v>1</v>
      </c>
      <c r="H5" t="s">
        <v>145</v>
      </c>
      <c r="I5" s="22" t="str">
        <f ca="1">IF(Milestones[[#This Row],[Percent complete]]=100%,"",IF(TODAY()&gt;Milestones[[#This Row],[Planned end date]],_xlfn.TEXTJOIN(" by ",TRUE,"Breached",TODAY()-D5)&amp;" days",""))</f>
        <v/>
      </c>
      <c r="J5" s="46" t="str">
        <f t="shared" ca="1" si="0"/>
        <v/>
      </c>
      <c r="K5" s="46" t="str">
        <f ca="1">IF(Milestones[[#This Row],[State]]="Closed Complete","",IF(YEAR(D5)&amp;"-"&amp;TEXT(WEEKNUM(D5,2),"00")&lt;YEAR(TODAY())&amp;"-"&amp;TEXT(WEEKNUM(TODAY(),2),"00"),"Breached","To be completed"))</f>
        <v/>
      </c>
      <c r="L5" s="6"/>
      <c r="M5" s="6"/>
    </row>
    <row r="6" spans="1:13" ht="14.4" x14ac:dyDescent="0.3">
      <c r="A6" s="20" t="s">
        <v>195</v>
      </c>
      <c r="B6" s="56" t="s">
        <v>175</v>
      </c>
      <c r="C6" s="20" t="s">
        <v>222</v>
      </c>
      <c r="D6" s="7">
        <v>45281</v>
      </c>
      <c r="E6" s="7">
        <v>45281</v>
      </c>
      <c r="F6" s="46" t="s">
        <v>4</v>
      </c>
      <c r="G6" s="49">
        <v>1</v>
      </c>
      <c r="H6" t="s">
        <v>145</v>
      </c>
      <c r="I6" s="22" t="str">
        <f ca="1">IF(Milestones[[#This Row],[Percent complete]]=100%,"",IF(TODAY()&gt;Milestones[[#This Row],[Planned end date]],_xlfn.TEXTJOIN(" by ",TRUE,"Breached",TODAY()-D6)&amp;" days",""))</f>
        <v/>
      </c>
      <c r="J6" s="46" t="str">
        <f t="shared" ca="1" si="0"/>
        <v/>
      </c>
      <c r="K6" s="46" t="str">
        <f ca="1">IF(Milestones[[#This Row],[State]]="Closed Complete","",IF(YEAR(D6)&amp;"-"&amp;TEXT(WEEKNUM(D6,2),"00")&lt;YEAR(TODAY())&amp;"-"&amp;TEXT(WEEKNUM(TODAY(),2),"00"),"Breached","To be completed"))</f>
        <v/>
      </c>
      <c r="L6" s="6"/>
      <c r="M6" s="6"/>
    </row>
    <row r="7" spans="1:13" ht="14.4" x14ac:dyDescent="0.3">
      <c r="A7" s="20" t="s">
        <v>195</v>
      </c>
      <c r="B7" s="56" t="s">
        <v>175</v>
      </c>
      <c r="C7" s="20" t="s">
        <v>222</v>
      </c>
      <c r="D7" s="7">
        <v>45534</v>
      </c>
      <c r="E7" s="7">
        <v>45534</v>
      </c>
      <c r="F7" s="46" t="s">
        <v>4</v>
      </c>
      <c r="G7" s="49">
        <v>1</v>
      </c>
      <c r="H7" t="s">
        <v>145</v>
      </c>
      <c r="I7" s="22" t="str">
        <f ca="1">IF(Milestones[[#This Row],[Percent complete]]=100%,"",IF(TODAY()&gt;Milestones[[#This Row],[Planned end date]],_xlfn.TEXTJOIN(" by ",TRUE,"Breached",TODAY()-D7)&amp;" days",""))</f>
        <v/>
      </c>
      <c r="J7" s="46" t="str">
        <f t="shared" ca="1" si="0"/>
        <v/>
      </c>
      <c r="K7" s="46" t="str">
        <f ca="1">IF(Milestones[[#This Row],[State]]="Closed Complete","",IF(YEAR(D7)&amp;"-"&amp;TEXT(WEEKNUM(D7,2),"00")&lt;YEAR(TODAY())&amp;"-"&amp;TEXT(WEEKNUM(TODAY(),2),"00"),"Breached","To be completed"))</f>
        <v/>
      </c>
      <c r="L7" s="6"/>
      <c r="M7" s="6"/>
    </row>
    <row r="8" spans="1:13" ht="14.4" x14ac:dyDescent="0.3">
      <c r="A8" s="20" t="s">
        <v>195</v>
      </c>
      <c r="B8" s="56" t="s">
        <v>175</v>
      </c>
      <c r="C8" s="20" t="s">
        <v>222</v>
      </c>
      <c r="D8" s="7">
        <v>45646</v>
      </c>
      <c r="E8" s="7">
        <v>45646</v>
      </c>
      <c r="F8" s="46" t="s">
        <v>4</v>
      </c>
      <c r="G8" s="49">
        <v>1</v>
      </c>
      <c r="H8" t="s">
        <v>145</v>
      </c>
      <c r="I8" s="22" t="str">
        <f ca="1">IF(Milestones[[#This Row],[Percent complete]]=100%,"",IF(TODAY()&gt;Milestones[[#This Row],[Planned end date]],_xlfn.TEXTJOIN(" by ",TRUE,"Breached",TODAY()-D8)&amp;" days",""))</f>
        <v/>
      </c>
      <c r="J8" s="46" t="str">
        <f t="shared" ca="1" si="0"/>
        <v/>
      </c>
      <c r="K8" s="46" t="str">
        <f ca="1">IF(Milestones[[#This Row],[State]]="Closed Complete","",IF(YEAR(D8)&amp;"-"&amp;TEXT(WEEKNUM(D8,2),"00")&lt;YEAR(TODAY())&amp;"-"&amp;TEXT(WEEKNUM(TODAY(),2),"00"),"Breached","To be completed"))</f>
        <v/>
      </c>
      <c r="L8" s="6"/>
      <c r="M8" s="6"/>
    </row>
    <row r="9" spans="1:13" ht="14.4" x14ac:dyDescent="0.3">
      <c r="A9" s="20" t="s">
        <v>195</v>
      </c>
      <c r="B9" s="56" t="s">
        <v>175</v>
      </c>
      <c r="C9" s="20" t="s">
        <v>222</v>
      </c>
      <c r="D9" s="7">
        <v>45747</v>
      </c>
      <c r="E9" s="7"/>
      <c r="F9" s="46" t="s">
        <v>10</v>
      </c>
      <c r="G9" s="49">
        <v>0.99</v>
      </c>
      <c r="H9" t="s">
        <v>145</v>
      </c>
      <c r="I9" s="22" t="str">
        <f ca="1">IF(Milestones[[#This Row],[Percent complete]]=100%,"",IF(TODAY()&gt;Milestones[[#This Row],[Planned end date]],_xlfn.TEXTJOIN(" by ",TRUE,"Breached",TODAY()-D9)&amp;" days",""))</f>
        <v>Breached by 22 days</v>
      </c>
      <c r="J9" s="46" t="str">
        <f t="shared" ca="1" si="0"/>
        <v/>
      </c>
      <c r="K9" s="46" t="str">
        <f ca="1">IF(Milestones[[#This Row],[State]]="Closed Complete","",IF(YEAR(D9)&amp;"-"&amp;TEXT(WEEKNUM(D9,2),"00")&lt;YEAR(TODAY())&amp;"-"&amp;TEXT(WEEKNUM(TODAY(),2),"00"),"Breached","To be completed"))</f>
        <v>Breached</v>
      </c>
      <c r="L9" s="6"/>
      <c r="M9" s="6"/>
    </row>
    <row r="10" spans="1:13" ht="14.4" x14ac:dyDescent="0.3">
      <c r="A10" s="20" t="s">
        <v>195</v>
      </c>
      <c r="B10" s="56" t="s">
        <v>175</v>
      </c>
      <c r="C10" s="20" t="s">
        <v>222</v>
      </c>
      <c r="D10" s="7">
        <v>45497</v>
      </c>
      <c r="E10" s="7">
        <v>45497</v>
      </c>
      <c r="F10" s="46" t="s">
        <v>4</v>
      </c>
      <c r="G10" s="49">
        <v>1</v>
      </c>
      <c r="H10" t="s">
        <v>140</v>
      </c>
      <c r="I10" s="22" t="str">
        <f ca="1">IF(Milestones[[#This Row],[Percent complete]]=100%,"",IF(TODAY()&gt;Milestones[[#This Row],[Planned end date]],_xlfn.TEXTJOIN(" by ",TRUE,"Breached",TODAY()-D10)&amp;" days",""))</f>
        <v/>
      </c>
      <c r="J10" s="46" t="str">
        <f t="shared" ca="1" si="0"/>
        <v/>
      </c>
      <c r="K10" s="46" t="str">
        <f ca="1">IF(Milestones[[#This Row],[State]]="Closed Complete","",IF(YEAR(D10)&amp;"-"&amp;TEXT(WEEKNUM(D10,2),"00")&lt;YEAR(TODAY())&amp;"-"&amp;TEXT(WEEKNUM(TODAY(),2),"00"),"Breached","To be completed"))</f>
        <v/>
      </c>
      <c r="L10" s="6"/>
      <c r="M10" s="6"/>
    </row>
    <row r="11" spans="1:13" ht="14.4" x14ac:dyDescent="0.3">
      <c r="A11" s="20" t="s">
        <v>195</v>
      </c>
      <c r="B11" s="56" t="s">
        <v>175</v>
      </c>
      <c r="C11" s="20" t="s">
        <v>222</v>
      </c>
      <c r="D11" s="7">
        <v>45604</v>
      </c>
      <c r="E11" s="7">
        <v>45604</v>
      </c>
      <c r="F11" s="46" t="s">
        <v>4</v>
      </c>
      <c r="G11" s="49">
        <v>1</v>
      </c>
      <c r="H11" t="s">
        <v>140</v>
      </c>
      <c r="I11" s="22" t="str">
        <f ca="1">IF(Milestones[[#This Row],[Percent complete]]=100%,"",IF(TODAY()&gt;Milestones[[#This Row],[Planned end date]],_xlfn.TEXTJOIN(" by ",TRUE,"Breached",TODAY()-D11)&amp;" days",""))</f>
        <v/>
      </c>
      <c r="J11" s="46" t="str">
        <f t="shared" ca="1" si="0"/>
        <v/>
      </c>
      <c r="K11" s="46" t="str">
        <f ca="1">IF(Milestones[[#This Row],[State]]="Closed Complete","",IF(YEAR(D11)&amp;"-"&amp;TEXT(WEEKNUM(D11,2),"00")&lt;YEAR(TODAY())&amp;"-"&amp;TEXT(WEEKNUM(TODAY(),2),"00"),"Breached","To be completed"))</f>
        <v/>
      </c>
      <c r="L11" s="6"/>
      <c r="M11" s="6"/>
    </row>
    <row r="12" spans="1:13" ht="14.4" x14ac:dyDescent="0.3">
      <c r="A12" s="20" t="s">
        <v>195</v>
      </c>
      <c r="B12" s="56" t="s">
        <v>175</v>
      </c>
      <c r="C12" s="20" t="s">
        <v>222</v>
      </c>
      <c r="D12" s="7">
        <v>45657</v>
      </c>
      <c r="E12" s="7">
        <v>45657</v>
      </c>
      <c r="F12" s="46" t="s">
        <v>4</v>
      </c>
      <c r="G12" s="49">
        <v>1</v>
      </c>
      <c r="H12" t="s">
        <v>140</v>
      </c>
      <c r="I12" s="22" t="str">
        <f ca="1">IF(Milestones[[#This Row],[Percent complete]]=100%,"",IF(TODAY()&gt;Milestones[[#This Row],[Planned end date]],_xlfn.TEXTJOIN(" by ",TRUE,"Breached",TODAY()-D12)&amp;" days",""))</f>
        <v/>
      </c>
      <c r="J12" s="46" t="str">
        <f t="shared" ca="1" si="0"/>
        <v/>
      </c>
      <c r="K12" s="46" t="str">
        <f ca="1">IF(Milestones[[#This Row],[State]]="Closed Complete","",IF(YEAR(D12)&amp;"-"&amp;TEXT(WEEKNUM(D12,2),"00")&lt;YEAR(TODAY())&amp;"-"&amp;TEXT(WEEKNUM(TODAY(),2),"00"),"Breached","To be completed"))</f>
        <v/>
      </c>
      <c r="L12" s="6"/>
      <c r="M12" s="6"/>
    </row>
    <row r="13" spans="1:13" ht="14.4" x14ac:dyDescent="0.3">
      <c r="A13" s="20" t="s">
        <v>195</v>
      </c>
      <c r="B13" s="56" t="s">
        <v>175</v>
      </c>
      <c r="C13" s="20" t="s">
        <v>222</v>
      </c>
      <c r="D13" s="7">
        <v>45777</v>
      </c>
      <c r="E13" s="7"/>
      <c r="F13" s="46" t="s">
        <v>9</v>
      </c>
      <c r="G13" s="49">
        <v>0</v>
      </c>
      <c r="H13" t="s">
        <v>140</v>
      </c>
      <c r="I13" s="22" t="str">
        <f ca="1">IF(Milestones[[#This Row],[Percent complete]]=100%,"",IF(TODAY()&gt;Milestones[[#This Row],[Planned end date]],_xlfn.TEXTJOIN(" by ",TRUE,"Breached",TODAY()-D13)&amp;" days",""))</f>
        <v/>
      </c>
      <c r="J13" s="46" t="str">
        <f t="shared" ca="1" si="0"/>
        <v/>
      </c>
      <c r="K13" s="46" t="str">
        <f ca="1">IF(Milestones[[#This Row],[State]]="Closed Complete","",IF(YEAR(D13)&amp;"-"&amp;TEXT(WEEKNUM(D13,2),"00")&lt;YEAR(TODAY())&amp;"-"&amp;TEXT(WEEKNUM(TODAY(),2),"00"),"Breached","To be completed"))</f>
        <v>To be completed</v>
      </c>
      <c r="L13" s="6"/>
      <c r="M13" s="6"/>
    </row>
    <row r="14" spans="1:13" ht="14.4" x14ac:dyDescent="0.3">
      <c r="A14" s="20" t="s">
        <v>184</v>
      </c>
      <c r="B14" s="56" t="s">
        <v>175</v>
      </c>
      <c r="C14" s="20" t="s">
        <v>171</v>
      </c>
      <c r="D14" s="7">
        <v>45292</v>
      </c>
      <c r="E14" s="7">
        <v>45292</v>
      </c>
      <c r="F14" s="46" t="s">
        <v>4</v>
      </c>
      <c r="G14" s="49">
        <v>1</v>
      </c>
      <c r="H14" t="s">
        <v>74</v>
      </c>
      <c r="I14" s="22" t="str">
        <f ca="1">IF(Milestones[[#This Row],[Percent complete]]=100%,"",IF(TODAY()&gt;Milestones[[#This Row],[Planned end date]],_xlfn.TEXTJOIN(" by ",TRUE,"Breached",TODAY()-D14)&amp;" days",""))</f>
        <v/>
      </c>
      <c r="J14" s="46" t="str">
        <f t="shared" ca="1" si="0"/>
        <v/>
      </c>
      <c r="K14" s="46" t="str">
        <f ca="1">IF(Milestones[[#This Row],[State]]="Closed Complete","",IF(YEAR(D14)&amp;"-"&amp;TEXT(WEEKNUM(D14,2),"00")&lt;YEAR(TODAY())&amp;"-"&amp;TEXT(WEEKNUM(TODAY(),2),"00"),"Breached","To be completed"))</f>
        <v/>
      </c>
      <c r="L14" s="6"/>
      <c r="M14" s="6"/>
    </row>
    <row r="15" spans="1:13" ht="14.4" x14ac:dyDescent="0.3">
      <c r="A15" s="20" t="s">
        <v>184</v>
      </c>
      <c r="B15" s="56" t="s">
        <v>175</v>
      </c>
      <c r="C15" s="20" t="s">
        <v>171</v>
      </c>
      <c r="D15" s="7">
        <v>45657</v>
      </c>
      <c r="E15" s="7">
        <v>45657</v>
      </c>
      <c r="F15" s="46" t="s">
        <v>4</v>
      </c>
      <c r="G15" s="49">
        <v>1</v>
      </c>
      <c r="H15" t="s">
        <v>74</v>
      </c>
      <c r="I15" s="22" t="str">
        <f ca="1">IF(Milestones[[#This Row],[Percent complete]]=100%,"",IF(TODAY()&gt;Milestones[[#This Row],[Planned end date]],_xlfn.TEXTJOIN(" by ",TRUE,"Breached",TODAY()-D15)&amp;" days",""))</f>
        <v/>
      </c>
      <c r="J15" s="46" t="str">
        <f t="shared" ca="1" si="0"/>
        <v/>
      </c>
      <c r="K15" s="46" t="str">
        <f ca="1">IF(Milestones[[#This Row],[State]]="Closed Complete","",IF(YEAR(D15)&amp;"-"&amp;TEXT(WEEKNUM(D15,2),"00")&lt;YEAR(TODAY())&amp;"-"&amp;TEXT(WEEKNUM(TODAY(),2),"00"),"Breached","To be completed"))</f>
        <v/>
      </c>
      <c r="L15" s="6"/>
      <c r="M15" s="6"/>
    </row>
    <row r="16" spans="1:13" ht="14.4" x14ac:dyDescent="0.3">
      <c r="A16" s="20" t="s">
        <v>184</v>
      </c>
      <c r="B16" s="56" t="s">
        <v>175</v>
      </c>
      <c r="C16" s="20" t="s">
        <v>171</v>
      </c>
      <c r="D16" s="7">
        <v>45747</v>
      </c>
      <c r="E16" s="7"/>
      <c r="F16" s="46" t="s">
        <v>9</v>
      </c>
      <c r="G16" s="49">
        <v>0</v>
      </c>
      <c r="H16" t="s">
        <v>74</v>
      </c>
      <c r="I16" s="22" t="str">
        <f ca="1">IF(Milestones[[#This Row],[Percent complete]]=100%,"",IF(TODAY()&gt;Milestones[[#This Row],[Planned end date]],_xlfn.TEXTJOIN(" by ",TRUE,"Breached",TODAY()-D16)&amp;" days",""))</f>
        <v>Breached by 22 days</v>
      </c>
      <c r="J16" s="46" t="str">
        <f t="shared" ca="1" si="0"/>
        <v/>
      </c>
      <c r="K16" s="46" t="str">
        <f ca="1">IF(Milestones[[#This Row],[State]]="Closed Complete","",IF(YEAR(D16)&amp;"-"&amp;TEXT(WEEKNUM(D16,2),"00")&lt;YEAR(TODAY())&amp;"-"&amp;TEXT(WEEKNUM(TODAY(),2),"00"),"Breached","To be completed"))</f>
        <v>Breached</v>
      </c>
      <c r="L16" s="6"/>
      <c r="M16" s="6"/>
    </row>
    <row r="17" spans="1:13" ht="14.4" x14ac:dyDescent="0.3">
      <c r="A17" s="20" t="s">
        <v>184</v>
      </c>
      <c r="B17" s="56" t="s">
        <v>175</v>
      </c>
      <c r="C17" s="20" t="s">
        <v>171</v>
      </c>
      <c r="D17" s="7">
        <v>45838</v>
      </c>
      <c r="E17" s="7"/>
      <c r="F17" s="46" t="s">
        <v>9</v>
      </c>
      <c r="G17" s="49">
        <v>0</v>
      </c>
      <c r="H17" t="s">
        <v>74</v>
      </c>
      <c r="I17" s="22" t="str">
        <f ca="1">IF(Milestones[[#This Row],[Percent complete]]=100%,"",IF(TODAY()&gt;Milestones[[#This Row],[Planned end date]],_xlfn.TEXTJOIN(" by ",TRUE,"Breached",TODAY()-D17)&amp;" days",""))</f>
        <v/>
      </c>
      <c r="J17" s="46" t="str">
        <f t="shared" ca="1" si="0"/>
        <v/>
      </c>
      <c r="K17" s="46" t="str">
        <f ca="1">IF(Milestones[[#This Row],[State]]="Closed Complete","",IF(YEAR(D17)&amp;"-"&amp;TEXT(WEEKNUM(D17,2),"00")&lt;YEAR(TODAY())&amp;"-"&amp;TEXT(WEEKNUM(TODAY(),2),"00"),"Breached","To be completed"))</f>
        <v>To be completed</v>
      </c>
      <c r="L17" s="6"/>
      <c r="M17" s="6"/>
    </row>
    <row r="18" spans="1:13" ht="14.4" x14ac:dyDescent="0.3">
      <c r="A18" s="20" t="s">
        <v>184</v>
      </c>
      <c r="B18" s="56" t="s">
        <v>175</v>
      </c>
      <c r="C18" s="20" t="s">
        <v>171</v>
      </c>
      <c r="D18" s="7">
        <v>45930</v>
      </c>
      <c r="E18" s="7"/>
      <c r="F18" s="46" t="s">
        <v>9</v>
      </c>
      <c r="G18" s="49">
        <v>0</v>
      </c>
      <c r="H18" t="s">
        <v>74</v>
      </c>
      <c r="I18" s="22" t="str">
        <f ca="1">IF(Milestones[[#This Row],[Percent complete]]=100%,"",IF(TODAY()&gt;Milestones[[#This Row],[Planned end date]],_xlfn.TEXTJOIN(" by ",TRUE,"Breached",TODAY()-D18)&amp;" days",""))</f>
        <v/>
      </c>
      <c r="J18" s="46" t="str">
        <f t="shared" ca="1" si="0"/>
        <v/>
      </c>
      <c r="K18" s="46" t="str">
        <f ca="1">IF(Milestones[[#This Row],[State]]="Closed Complete","",IF(YEAR(D18)&amp;"-"&amp;TEXT(WEEKNUM(D18,2),"00")&lt;YEAR(TODAY())&amp;"-"&amp;TEXT(WEEKNUM(TODAY(),2),"00"),"Breached","To be completed"))</f>
        <v>To be completed</v>
      </c>
      <c r="L18" s="6"/>
      <c r="M18" s="6"/>
    </row>
    <row r="19" spans="1:13" ht="14.4" x14ac:dyDescent="0.3">
      <c r="A19" s="20" t="s">
        <v>184</v>
      </c>
      <c r="B19" s="56" t="s">
        <v>175</v>
      </c>
      <c r="C19" s="20" t="s">
        <v>171</v>
      </c>
      <c r="D19" s="7">
        <v>45991</v>
      </c>
      <c r="E19" s="7"/>
      <c r="F19" s="46" t="s">
        <v>9</v>
      </c>
      <c r="G19" s="49">
        <v>0</v>
      </c>
      <c r="H19" t="s">
        <v>74</v>
      </c>
      <c r="I19" s="22" t="str">
        <f ca="1">IF(Milestones[[#This Row],[Percent complete]]=100%,"",IF(TODAY()&gt;Milestones[[#This Row],[Planned end date]],_xlfn.TEXTJOIN(" by ",TRUE,"Breached",TODAY()-D19)&amp;" days",""))</f>
        <v/>
      </c>
      <c r="J19" s="46" t="str">
        <f t="shared" ca="1" si="0"/>
        <v/>
      </c>
      <c r="K19" s="46" t="str">
        <f ca="1">IF(Milestones[[#This Row],[State]]="Closed Complete","",IF(YEAR(D19)&amp;"-"&amp;TEXT(WEEKNUM(D19,2),"00")&lt;YEAR(TODAY())&amp;"-"&amp;TEXT(WEEKNUM(TODAY(),2),"00"),"Breached","To be completed"))</f>
        <v>To be completed</v>
      </c>
      <c r="L19" s="6"/>
      <c r="M19" s="6"/>
    </row>
    <row r="20" spans="1:13" ht="14.4" x14ac:dyDescent="0.3">
      <c r="A20" s="20" t="s">
        <v>184</v>
      </c>
      <c r="B20" s="56" t="s">
        <v>175</v>
      </c>
      <c r="C20" s="20" t="s">
        <v>171</v>
      </c>
      <c r="D20" s="7">
        <v>46022</v>
      </c>
      <c r="E20" s="7"/>
      <c r="F20" s="46" t="s">
        <v>9</v>
      </c>
      <c r="G20" s="49">
        <v>0</v>
      </c>
      <c r="H20" t="s">
        <v>74</v>
      </c>
      <c r="I20" s="22" t="str">
        <f ca="1">IF(Milestones[[#This Row],[Percent complete]]=100%,"",IF(TODAY()&gt;Milestones[[#This Row],[Planned end date]],_xlfn.TEXTJOIN(" by ",TRUE,"Breached",TODAY()-D20)&amp;" days",""))</f>
        <v/>
      </c>
      <c r="J20" s="46" t="str">
        <f t="shared" ca="1" si="0"/>
        <v/>
      </c>
      <c r="K20" s="46" t="str">
        <f ca="1">IF(Milestones[[#This Row],[State]]="Closed Complete","",IF(YEAR(D20)&amp;"-"&amp;TEXT(WEEKNUM(D20,2),"00")&lt;YEAR(TODAY())&amp;"-"&amp;TEXT(WEEKNUM(TODAY(),2),"00"),"Breached","To be completed"))</f>
        <v>To be completed</v>
      </c>
      <c r="L20" s="6"/>
      <c r="M20" s="6"/>
    </row>
    <row r="21" spans="1:13" ht="14.4" x14ac:dyDescent="0.3">
      <c r="A21" s="20" t="s">
        <v>184</v>
      </c>
      <c r="B21" s="56" t="s">
        <v>175</v>
      </c>
      <c r="C21" s="20" t="s">
        <v>171</v>
      </c>
      <c r="D21" s="7">
        <v>45636</v>
      </c>
      <c r="E21" s="7">
        <v>45636</v>
      </c>
      <c r="F21" s="46" t="s">
        <v>4</v>
      </c>
      <c r="G21" s="49">
        <v>1</v>
      </c>
      <c r="H21" t="s">
        <v>114</v>
      </c>
      <c r="I21" s="22" t="str">
        <f ca="1">IF(Milestones[[#This Row],[Percent complete]]=100%,"",IF(TODAY()&gt;Milestones[[#This Row],[Planned end date]],_xlfn.TEXTJOIN(" by ",TRUE,"Breached",TODAY()-D21)&amp;" days",""))</f>
        <v/>
      </c>
      <c r="J21" s="46" t="str">
        <f t="shared" ca="1" si="0"/>
        <v/>
      </c>
      <c r="K21" s="46" t="str">
        <f ca="1">IF(Milestones[[#This Row],[State]]="Closed Complete","",IF(YEAR(D21)&amp;"-"&amp;TEXT(WEEKNUM(D21,2),"00")&lt;YEAR(TODAY())&amp;"-"&amp;TEXT(WEEKNUM(TODAY(),2),"00"),"Breached","To be completed"))</f>
        <v/>
      </c>
      <c r="L21" s="6"/>
      <c r="M21" s="6"/>
    </row>
    <row r="22" spans="1:13" ht="14.4" x14ac:dyDescent="0.3">
      <c r="A22" s="20" t="s">
        <v>184</v>
      </c>
      <c r="B22" s="56" t="s">
        <v>175</v>
      </c>
      <c r="C22" s="20" t="s">
        <v>171</v>
      </c>
      <c r="D22" s="7">
        <v>45747</v>
      </c>
      <c r="E22" s="7"/>
      <c r="F22" s="46" t="s">
        <v>10</v>
      </c>
      <c r="G22" s="49">
        <v>0</v>
      </c>
      <c r="H22" t="s">
        <v>114</v>
      </c>
      <c r="I22" s="22" t="str">
        <f ca="1">IF(Milestones[[#This Row],[Percent complete]]=100%,"",IF(TODAY()&gt;Milestones[[#This Row],[Planned end date]],_xlfn.TEXTJOIN(" by ",TRUE,"Breached",TODAY()-D22)&amp;" days",""))</f>
        <v>Breached by 22 days</v>
      </c>
      <c r="J22" s="46" t="str">
        <f t="shared" ca="1" si="0"/>
        <v/>
      </c>
      <c r="K22" s="46" t="str">
        <f ca="1">IF(Milestones[[#This Row],[State]]="Closed Complete","",IF(YEAR(D22)&amp;"-"&amp;TEXT(WEEKNUM(D22,2),"00")&lt;YEAR(TODAY())&amp;"-"&amp;TEXT(WEEKNUM(TODAY(),2),"00"),"Breached","To be completed"))</f>
        <v>Breached</v>
      </c>
      <c r="L22" s="6"/>
      <c r="M22" s="6"/>
    </row>
    <row r="23" spans="1:13" ht="14.4" x14ac:dyDescent="0.3">
      <c r="A23" s="20" t="s">
        <v>184</v>
      </c>
      <c r="B23" s="56" t="s">
        <v>175</v>
      </c>
      <c r="C23" s="20" t="s">
        <v>171</v>
      </c>
      <c r="D23" s="7">
        <v>45838</v>
      </c>
      <c r="E23" s="7"/>
      <c r="F23" s="46" t="s">
        <v>10</v>
      </c>
      <c r="G23" s="49">
        <v>0</v>
      </c>
      <c r="H23" t="s">
        <v>114</v>
      </c>
      <c r="I23" s="22" t="str">
        <f ca="1">IF(Milestones[[#This Row],[Percent complete]]=100%,"",IF(TODAY()&gt;Milestones[[#This Row],[Planned end date]],_xlfn.TEXTJOIN(" by ",TRUE,"Breached",TODAY()-D23)&amp;" days",""))</f>
        <v/>
      </c>
      <c r="J23" s="46" t="str">
        <f t="shared" ca="1" si="0"/>
        <v/>
      </c>
      <c r="K23" s="46" t="str">
        <f ca="1">IF(Milestones[[#This Row],[State]]="Closed Complete","",IF(YEAR(D23)&amp;"-"&amp;TEXT(WEEKNUM(D23,2),"00")&lt;YEAR(TODAY())&amp;"-"&amp;TEXT(WEEKNUM(TODAY(),2),"00"),"Breached","To be completed"))</f>
        <v>To be completed</v>
      </c>
      <c r="L23" s="6"/>
      <c r="M23" s="6"/>
    </row>
    <row r="24" spans="1:13" ht="14.4" x14ac:dyDescent="0.3">
      <c r="A24" s="20" t="s">
        <v>184</v>
      </c>
      <c r="B24" s="56" t="s">
        <v>175</v>
      </c>
      <c r="C24" s="20" t="s">
        <v>171</v>
      </c>
      <c r="D24" s="7">
        <v>45930</v>
      </c>
      <c r="E24" s="7"/>
      <c r="F24" s="46" t="s">
        <v>9</v>
      </c>
      <c r="G24" s="49">
        <v>0</v>
      </c>
      <c r="H24" t="s">
        <v>114</v>
      </c>
      <c r="I24" s="22" t="str">
        <f ca="1">IF(Milestones[[#This Row],[Percent complete]]=100%,"",IF(TODAY()&gt;Milestones[[#This Row],[Planned end date]],_xlfn.TEXTJOIN(" by ",TRUE,"Breached",TODAY()-D24)&amp;" days",""))</f>
        <v/>
      </c>
      <c r="J24" s="46" t="str">
        <f t="shared" ca="1" si="0"/>
        <v/>
      </c>
      <c r="K24" s="46" t="str">
        <f ca="1">IF(Milestones[[#This Row],[State]]="Closed Complete","",IF(YEAR(D24)&amp;"-"&amp;TEXT(WEEKNUM(D24,2),"00")&lt;YEAR(TODAY())&amp;"-"&amp;TEXT(WEEKNUM(TODAY(),2),"00"),"Breached","To be completed"))</f>
        <v>To be completed</v>
      </c>
      <c r="L24" s="6"/>
      <c r="M24" s="6"/>
    </row>
    <row r="25" spans="1:13" ht="14.4" x14ac:dyDescent="0.3">
      <c r="A25" s="20" t="s">
        <v>199</v>
      </c>
      <c r="B25" s="56" t="s">
        <v>175</v>
      </c>
      <c r="C25" s="20" t="s">
        <v>174</v>
      </c>
      <c r="D25" s="7">
        <v>45930</v>
      </c>
      <c r="E25" s="7"/>
      <c r="F25" s="46" t="s">
        <v>9</v>
      </c>
      <c r="G25" s="49">
        <v>0</v>
      </c>
      <c r="H25" t="s">
        <v>168</v>
      </c>
      <c r="I25" s="22" t="str">
        <f ca="1">IF(Milestones[[#This Row],[Percent complete]]=100%,"",IF(TODAY()&gt;Milestones[[#This Row],[Planned end date]],_xlfn.TEXTJOIN(" by ",TRUE,"Breached",TODAY()-D25)&amp;" days",""))</f>
        <v/>
      </c>
      <c r="J25" s="46" t="str">
        <f t="shared" ca="1" si="0"/>
        <v/>
      </c>
      <c r="K25" s="46" t="str">
        <f ca="1">IF(Milestones[[#This Row],[State]]="Closed Complete","",IF(YEAR(D25)&amp;"-"&amp;TEXT(WEEKNUM(D25,2),"00")&lt;YEAR(TODAY())&amp;"-"&amp;TEXT(WEEKNUM(TODAY(),2),"00"),"Breached","To be completed"))</f>
        <v>To be completed</v>
      </c>
      <c r="L25" s="6"/>
      <c r="M25" s="6"/>
    </row>
    <row r="26" spans="1:13" ht="14.4" x14ac:dyDescent="0.3">
      <c r="A26" s="20" t="s">
        <v>199</v>
      </c>
      <c r="B26" s="56" t="s">
        <v>175</v>
      </c>
      <c r="C26" s="20" t="s">
        <v>174</v>
      </c>
      <c r="D26" s="7">
        <v>45566</v>
      </c>
      <c r="E26" s="7"/>
      <c r="F26" s="46" t="s">
        <v>9</v>
      </c>
      <c r="G26" s="49">
        <v>0</v>
      </c>
      <c r="H26" t="s">
        <v>70</v>
      </c>
      <c r="I26" s="22" t="str">
        <f ca="1">IF(Milestones[[#This Row],[Percent complete]]=100%,"",IF(TODAY()&gt;Milestones[[#This Row],[Planned end date]],_xlfn.TEXTJOIN(" by ",TRUE,"Breached",TODAY()-D26)&amp;" days",""))</f>
        <v>Breached by 203 days</v>
      </c>
      <c r="J26" s="46" t="str">
        <f t="shared" ca="1" si="0"/>
        <v/>
      </c>
      <c r="K26" s="46" t="str">
        <f ca="1">IF(Milestones[[#This Row],[State]]="Closed Complete","",IF(YEAR(D26)&amp;"-"&amp;TEXT(WEEKNUM(D26,2),"00")&lt;YEAR(TODAY())&amp;"-"&amp;TEXT(WEEKNUM(TODAY(),2),"00"),"Breached","To be completed"))</f>
        <v>Breached</v>
      </c>
      <c r="L26" s="6"/>
      <c r="M26" s="6"/>
    </row>
    <row r="27" spans="1:13" ht="14.4" x14ac:dyDescent="0.3">
      <c r="A27" s="20" t="s">
        <v>199</v>
      </c>
      <c r="B27" s="56" t="s">
        <v>175</v>
      </c>
      <c r="C27" s="20" t="s">
        <v>174</v>
      </c>
      <c r="D27" s="7">
        <v>46108</v>
      </c>
      <c r="E27" s="7"/>
      <c r="F27" s="46" t="s">
        <v>9</v>
      </c>
      <c r="G27" s="49">
        <v>0</v>
      </c>
      <c r="H27" t="s">
        <v>70</v>
      </c>
      <c r="I27" s="22" t="str">
        <f ca="1">IF(Milestones[[#This Row],[Percent complete]]=100%,"",IF(TODAY()&gt;Milestones[[#This Row],[Planned end date]],_xlfn.TEXTJOIN(" by ",TRUE,"Breached",TODAY()-D27)&amp;" days",""))</f>
        <v/>
      </c>
      <c r="J27" s="46" t="str">
        <f t="shared" ca="1" si="0"/>
        <v/>
      </c>
      <c r="K27" s="46" t="str">
        <f ca="1">IF(Milestones[[#This Row],[State]]="Closed Complete","",IF(YEAR(D27)&amp;"-"&amp;TEXT(WEEKNUM(D27,2),"00")&lt;YEAR(TODAY())&amp;"-"&amp;TEXT(WEEKNUM(TODAY(),2),"00"),"Breached","To be completed"))</f>
        <v>To be completed</v>
      </c>
      <c r="L27" s="6"/>
      <c r="M27" s="6"/>
    </row>
    <row r="28" spans="1:13" ht="14.4" x14ac:dyDescent="0.3">
      <c r="A28" s="20" t="s">
        <v>199</v>
      </c>
      <c r="B28" s="56" t="s">
        <v>175</v>
      </c>
      <c r="C28" s="20" t="s">
        <v>174</v>
      </c>
      <c r="D28" s="7">
        <v>45441</v>
      </c>
      <c r="E28" s="7">
        <v>45460</v>
      </c>
      <c r="F28" s="46" t="s">
        <v>4</v>
      </c>
      <c r="G28" s="49">
        <v>1</v>
      </c>
      <c r="H28" t="s">
        <v>79</v>
      </c>
      <c r="I28" s="22" t="str">
        <f ca="1">IF(Milestones[[#This Row],[Percent complete]]=100%,"",IF(TODAY()&gt;Milestones[[#This Row],[Planned end date]],_xlfn.TEXTJOIN(" by ",TRUE,"Breached",TODAY()-D28)&amp;" days",""))</f>
        <v/>
      </c>
      <c r="J28" s="46" t="str">
        <f t="shared" ca="1" si="0"/>
        <v/>
      </c>
      <c r="K28" s="46" t="str">
        <f ca="1">IF(Milestones[[#This Row],[State]]="Closed Complete","",IF(YEAR(D28)&amp;"-"&amp;TEXT(WEEKNUM(D28,2),"00")&lt;YEAR(TODAY())&amp;"-"&amp;TEXT(WEEKNUM(TODAY(),2),"00"),"Breached","To be completed"))</f>
        <v/>
      </c>
      <c r="L28" s="6"/>
      <c r="M28" s="6"/>
    </row>
    <row r="29" spans="1:13" ht="14.4" x14ac:dyDescent="0.3">
      <c r="A29" s="20" t="s">
        <v>199</v>
      </c>
      <c r="B29" s="56" t="s">
        <v>175</v>
      </c>
      <c r="C29" s="20" t="s">
        <v>174</v>
      </c>
      <c r="D29" s="7">
        <v>45527</v>
      </c>
      <c r="E29" s="7">
        <v>45527</v>
      </c>
      <c r="F29" s="46" t="s">
        <v>4</v>
      </c>
      <c r="G29" s="49">
        <v>1</v>
      </c>
      <c r="H29" t="s">
        <v>79</v>
      </c>
      <c r="I29" s="22" t="str">
        <f ca="1">IF(Milestones[[#This Row],[Percent complete]]=100%,"",IF(TODAY()&gt;Milestones[[#This Row],[Planned end date]],_xlfn.TEXTJOIN(" by ",TRUE,"Breached",TODAY()-D29)&amp;" days",""))</f>
        <v/>
      </c>
      <c r="J29" s="46" t="str">
        <f t="shared" ca="1" si="0"/>
        <v/>
      </c>
      <c r="K29" s="46" t="str">
        <f ca="1">IF(Milestones[[#This Row],[State]]="Closed Complete","",IF(YEAR(D29)&amp;"-"&amp;TEXT(WEEKNUM(D29,2),"00")&lt;YEAR(TODAY())&amp;"-"&amp;TEXT(WEEKNUM(TODAY(),2),"00"),"Breached","To be completed"))</f>
        <v/>
      </c>
      <c r="L29" s="6"/>
      <c r="M29" s="6"/>
    </row>
    <row r="30" spans="1:13" ht="14.4" x14ac:dyDescent="0.3">
      <c r="A30" s="20" t="s">
        <v>199</v>
      </c>
      <c r="B30" s="56" t="s">
        <v>175</v>
      </c>
      <c r="C30" s="20" t="s">
        <v>174</v>
      </c>
      <c r="D30" s="7">
        <v>45596</v>
      </c>
      <c r="E30" s="7">
        <v>45600</v>
      </c>
      <c r="F30" s="46" t="s">
        <v>4</v>
      </c>
      <c r="G30" s="49">
        <v>1</v>
      </c>
      <c r="H30" t="s">
        <v>79</v>
      </c>
      <c r="I30" s="22" t="str">
        <f ca="1">IF(Milestones[[#This Row],[Percent complete]]=100%,"",IF(TODAY()&gt;Milestones[[#This Row],[Planned end date]],_xlfn.TEXTJOIN(" by ",TRUE,"Breached",TODAY()-D30)&amp;" days",""))</f>
        <v/>
      </c>
      <c r="J30" s="46" t="str">
        <f t="shared" ca="1" si="0"/>
        <v/>
      </c>
      <c r="K30" s="46" t="str">
        <f ca="1">IF(Milestones[[#This Row],[State]]="Closed Complete","",IF(YEAR(D30)&amp;"-"&amp;TEXT(WEEKNUM(D30,2),"00")&lt;YEAR(TODAY())&amp;"-"&amp;TEXT(WEEKNUM(TODAY(),2),"00"),"Breached","To be completed"))</f>
        <v/>
      </c>
      <c r="L30" s="6"/>
      <c r="M30" s="6"/>
    </row>
    <row r="31" spans="1:13" ht="14.4" x14ac:dyDescent="0.3">
      <c r="A31" s="20" t="s">
        <v>199</v>
      </c>
      <c r="B31" s="56" t="s">
        <v>175</v>
      </c>
      <c r="C31" s="20" t="s">
        <v>174</v>
      </c>
      <c r="D31" s="7">
        <v>45621</v>
      </c>
      <c r="E31" s="7">
        <v>45621</v>
      </c>
      <c r="F31" s="46" t="s">
        <v>4</v>
      </c>
      <c r="G31" s="49">
        <v>1</v>
      </c>
      <c r="H31" t="s">
        <v>79</v>
      </c>
      <c r="I31" s="22" t="str">
        <f ca="1">IF(Milestones[[#This Row],[Percent complete]]=100%,"",IF(TODAY()&gt;Milestones[[#This Row],[Planned end date]],_xlfn.TEXTJOIN(" by ",TRUE,"Breached",TODAY()-D31)&amp;" days",""))</f>
        <v/>
      </c>
      <c r="J31" s="46" t="str">
        <f t="shared" ca="1" si="0"/>
        <v/>
      </c>
      <c r="K31" s="46" t="str">
        <f ca="1">IF(Milestones[[#This Row],[State]]="Closed Complete","",IF(YEAR(D31)&amp;"-"&amp;TEXT(WEEKNUM(D31,2),"00")&lt;YEAR(TODAY())&amp;"-"&amp;TEXT(WEEKNUM(TODAY(),2),"00"),"Breached","To be completed"))</f>
        <v/>
      </c>
      <c r="L31" s="6"/>
      <c r="M31" s="6"/>
    </row>
    <row r="32" spans="1:13" ht="14.4" x14ac:dyDescent="0.3">
      <c r="A32" s="20" t="s">
        <v>199</v>
      </c>
      <c r="B32" s="56" t="s">
        <v>175</v>
      </c>
      <c r="C32" s="20" t="s">
        <v>174</v>
      </c>
      <c r="D32" s="7">
        <v>45716</v>
      </c>
      <c r="E32" s="7"/>
      <c r="F32" s="46" t="s">
        <v>9</v>
      </c>
      <c r="G32" s="49">
        <v>0</v>
      </c>
      <c r="H32" t="s">
        <v>79</v>
      </c>
      <c r="I32" s="22" t="str">
        <f ca="1">IF(Milestones[[#This Row],[Percent complete]]=100%,"",IF(TODAY()&gt;Milestones[[#This Row],[Planned end date]],_xlfn.TEXTJOIN(" by ",TRUE,"Breached",TODAY()-D32)&amp;" days",""))</f>
        <v>Breached by 53 days</v>
      </c>
      <c r="J32" s="46" t="str">
        <f t="shared" ca="1" si="0"/>
        <v/>
      </c>
      <c r="K32" s="46" t="str">
        <f ca="1">IF(Milestones[[#This Row],[State]]="Closed Complete","",IF(YEAR(D32)&amp;"-"&amp;TEXT(WEEKNUM(D32,2),"00")&lt;YEAR(TODAY())&amp;"-"&amp;TEXT(WEEKNUM(TODAY(),2),"00"),"Breached","To be completed"))</f>
        <v>Breached</v>
      </c>
      <c r="L32" s="6"/>
      <c r="M32" s="6"/>
    </row>
    <row r="33" spans="1:13" ht="14.4" x14ac:dyDescent="0.3">
      <c r="A33" s="20" t="s">
        <v>194</v>
      </c>
      <c r="B33" s="56" t="s">
        <v>175</v>
      </c>
      <c r="C33" s="20" t="s">
        <v>174</v>
      </c>
      <c r="D33" s="7">
        <v>45413</v>
      </c>
      <c r="E33" s="7">
        <v>45544</v>
      </c>
      <c r="F33" s="46" t="s">
        <v>4</v>
      </c>
      <c r="G33" s="49">
        <v>1</v>
      </c>
      <c r="H33" t="s">
        <v>71</v>
      </c>
      <c r="I33" s="22" t="str">
        <f ca="1">IF(Milestones[[#This Row],[Percent complete]]=100%,"",IF(TODAY()&gt;Milestones[[#This Row],[Planned end date]],_xlfn.TEXTJOIN(" by ",TRUE,"Breached",TODAY()-D33)&amp;" days",""))</f>
        <v/>
      </c>
      <c r="J33" s="46" t="str">
        <f t="shared" ca="1" si="0"/>
        <v/>
      </c>
      <c r="K33" s="46" t="str">
        <f ca="1">IF(Milestones[[#This Row],[State]]="Closed Complete","",IF(YEAR(D33)&amp;"-"&amp;TEXT(WEEKNUM(D33,2),"00")&lt;YEAR(TODAY())&amp;"-"&amp;TEXT(WEEKNUM(TODAY(),2),"00"),"Breached","To be completed"))</f>
        <v/>
      </c>
      <c r="L33" s="6"/>
      <c r="M33" s="6"/>
    </row>
    <row r="34" spans="1:13" ht="14.4" x14ac:dyDescent="0.3">
      <c r="A34" s="20" t="s">
        <v>194</v>
      </c>
      <c r="B34" s="56" t="s">
        <v>175</v>
      </c>
      <c r="C34" s="20" t="s">
        <v>174</v>
      </c>
      <c r="D34" s="7">
        <v>45688</v>
      </c>
      <c r="E34" s="7">
        <v>45688</v>
      </c>
      <c r="F34" s="46" t="s">
        <v>4</v>
      </c>
      <c r="G34" s="49">
        <v>1</v>
      </c>
      <c r="H34" t="s">
        <v>71</v>
      </c>
      <c r="I34" s="22" t="str">
        <f ca="1">IF(Milestones[[#This Row],[Percent complete]]=100%,"",IF(TODAY()&gt;Milestones[[#This Row],[Planned end date]],_xlfn.TEXTJOIN(" by ",TRUE,"Breached",TODAY()-D34)&amp;" days",""))</f>
        <v/>
      </c>
      <c r="J34" s="46" t="str">
        <f t="shared" ref="J34:J65" ca="1" si="1">IF(AND(E34&lt;&gt;"",E34&gt;=TODAY()-21, E34&lt;=TODAY()),TRUE,"")</f>
        <v/>
      </c>
      <c r="K34" s="46" t="str">
        <f ca="1">IF(Milestones[[#This Row],[State]]="Closed Complete","",IF(YEAR(D34)&amp;"-"&amp;TEXT(WEEKNUM(D34,2),"00")&lt;YEAR(TODAY())&amp;"-"&amp;TEXT(WEEKNUM(TODAY(),2),"00"),"Breached","To be completed"))</f>
        <v/>
      </c>
      <c r="L34" s="6"/>
      <c r="M34" s="6"/>
    </row>
    <row r="35" spans="1:13" ht="14.4" x14ac:dyDescent="0.3">
      <c r="A35" s="20" t="s">
        <v>194</v>
      </c>
      <c r="B35" s="56" t="s">
        <v>175</v>
      </c>
      <c r="C35" s="20" t="s">
        <v>174</v>
      </c>
      <c r="D35" s="7">
        <v>45730</v>
      </c>
      <c r="E35" s="7"/>
      <c r="F35" s="46" t="s">
        <v>10</v>
      </c>
      <c r="G35" s="49">
        <v>0.8</v>
      </c>
      <c r="H35" t="s">
        <v>71</v>
      </c>
      <c r="I35" s="22" t="str">
        <f ca="1">IF(Milestones[[#This Row],[Percent complete]]=100%,"",IF(TODAY()&gt;Milestones[[#This Row],[Planned end date]],_xlfn.TEXTJOIN(" by ",TRUE,"Breached",TODAY()-D35)&amp;" days",""))</f>
        <v>Breached by 39 days</v>
      </c>
      <c r="J35" s="46" t="str">
        <f t="shared" ca="1" si="1"/>
        <v/>
      </c>
      <c r="K35" s="46" t="str">
        <f ca="1">IF(Milestones[[#This Row],[State]]="Closed Complete","",IF(YEAR(D35)&amp;"-"&amp;TEXT(WEEKNUM(D35,2),"00")&lt;YEAR(TODAY())&amp;"-"&amp;TEXT(WEEKNUM(TODAY(),2),"00"),"Breached","To be completed"))</f>
        <v>Breached</v>
      </c>
      <c r="L35" s="6"/>
      <c r="M35" s="6"/>
    </row>
    <row r="36" spans="1:13" ht="14.4" x14ac:dyDescent="0.3">
      <c r="A36" s="20" t="s">
        <v>194</v>
      </c>
      <c r="B36" s="56" t="s">
        <v>175</v>
      </c>
      <c r="C36" s="20" t="s">
        <v>174</v>
      </c>
      <c r="D36" s="7">
        <v>45746</v>
      </c>
      <c r="E36" s="7"/>
      <c r="F36" s="46" t="s">
        <v>10</v>
      </c>
      <c r="G36" s="49">
        <v>0.75</v>
      </c>
      <c r="H36" t="s">
        <v>71</v>
      </c>
      <c r="I36" s="22" t="str">
        <f ca="1">IF(Milestones[[#This Row],[Percent complete]]=100%,"",IF(TODAY()&gt;Milestones[[#This Row],[Planned end date]],_xlfn.TEXTJOIN(" by ",TRUE,"Breached",TODAY()-D36)&amp;" days",""))</f>
        <v>Breached by 23 days</v>
      </c>
      <c r="J36" s="46" t="str">
        <f t="shared" ca="1" si="1"/>
        <v/>
      </c>
      <c r="K36" s="46" t="str">
        <f ca="1">IF(Milestones[[#This Row],[State]]="Closed Complete","",IF(YEAR(D36)&amp;"-"&amp;TEXT(WEEKNUM(D36,2),"00")&lt;YEAR(TODAY())&amp;"-"&amp;TEXT(WEEKNUM(TODAY(),2),"00"),"Breached","To be completed"))</f>
        <v>Breached</v>
      </c>
      <c r="L36" s="6"/>
      <c r="M36" s="6"/>
    </row>
    <row r="37" spans="1:13" ht="14.4" x14ac:dyDescent="0.3">
      <c r="A37" s="20" t="s">
        <v>194</v>
      </c>
      <c r="B37" s="56" t="s">
        <v>175</v>
      </c>
      <c r="C37" s="20" t="s">
        <v>174</v>
      </c>
      <c r="D37" s="7">
        <v>45746</v>
      </c>
      <c r="E37" s="7"/>
      <c r="F37" s="46" t="s">
        <v>10</v>
      </c>
      <c r="G37" s="49">
        <v>0.8</v>
      </c>
      <c r="H37" t="s">
        <v>71</v>
      </c>
      <c r="I37" s="22" t="str">
        <f ca="1">IF(Milestones[[#This Row],[Percent complete]]=100%,"",IF(TODAY()&gt;Milestones[[#This Row],[Planned end date]],_xlfn.TEXTJOIN(" by ",TRUE,"Breached",TODAY()-D37)&amp;" days",""))</f>
        <v>Breached by 23 days</v>
      </c>
      <c r="J37" s="46" t="str">
        <f t="shared" ca="1" si="1"/>
        <v/>
      </c>
      <c r="K37" s="46" t="str">
        <f ca="1">IF(Milestones[[#This Row],[State]]="Closed Complete","",IF(YEAR(D37)&amp;"-"&amp;TEXT(WEEKNUM(D37,2),"00")&lt;YEAR(TODAY())&amp;"-"&amp;TEXT(WEEKNUM(TODAY(),2),"00"),"Breached","To be completed"))</f>
        <v>Breached</v>
      </c>
      <c r="L37" s="6"/>
      <c r="M37" s="6"/>
    </row>
    <row r="38" spans="1:13" ht="14.4" x14ac:dyDescent="0.3">
      <c r="A38" s="20" t="s">
        <v>194</v>
      </c>
      <c r="B38" s="56" t="s">
        <v>175</v>
      </c>
      <c r="C38" s="20" t="s">
        <v>174</v>
      </c>
      <c r="D38" s="7">
        <v>45747</v>
      </c>
      <c r="E38" s="7"/>
      <c r="F38" s="46" t="s">
        <v>9</v>
      </c>
      <c r="G38" s="49">
        <v>0</v>
      </c>
      <c r="H38" t="s">
        <v>71</v>
      </c>
      <c r="I38" s="22" t="str">
        <f ca="1">IF(Milestones[[#This Row],[Percent complete]]=100%,"",IF(TODAY()&gt;Milestones[[#This Row],[Planned end date]],_xlfn.TEXTJOIN(" by ",TRUE,"Breached",TODAY()-D38)&amp;" days",""))</f>
        <v>Breached by 22 days</v>
      </c>
      <c r="J38" s="46" t="str">
        <f t="shared" ca="1" si="1"/>
        <v/>
      </c>
      <c r="K38" s="46" t="str">
        <f ca="1">IF(Milestones[[#This Row],[State]]="Closed Complete","",IF(YEAR(D38)&amp;"-"&amp;TEXT(WEEKNUM(D38,2),"00")&lt;YEAR(TODAY())&amp;"-"&amp;TEXT(WEEKNUM(TODAY(),2),"00"),"Breached","To be completed"))</f>
        <v>Breached</v>
      </c>
      <c r="L38" s="6"/>
      <c r="M38" s="6"/>
    </row>
    <row r="39" spans="1:13" ht="14.4" x14ac:dyDescent="0.3">
      <c r="A39" s="20" t="s">
        <v>194</v>
      </c>
      <c r="B39" s="56" t="s">
        <v>175</v>
      </c>
      <c r="C39" s="20" t="s">
        <v>174</v>
      </c>
      <c r="D39" s="7">
        <v>45747</v>
      </c>
      <c r="E39" s="7"/>
      <c r="F39" s="46" t="s">
        <v>9</v>
      </c>
      <c r="G39" s="49">
        <v>0</v>
      </c>
      <c r="H39" t="s">
        <v>71</v>
      </c>
      <c r="I39" s="22" t="str">
        <f ca="1">IF(Milestones[[#This Row],[Percent complete]]=100%,"",IF(TODAY()&gt;Milestones[[#This Row],[Planned end date]],_xlfn.TEXTJOIN(" by ",TRUE,"Breached",TODAY()-D39)&amp;" days",""))</f>
        <v>Breached by 22 days</v>
      </c>
      <c r="J39" s="46" t="str">
        <f t="shared" ca="1" si="1"/>
        <v/>
      </c>
      <c r="K39" s="46" t="str">
        <f ca="1">IF(Milestones[[#This Row],[State]]="Closed Complete","",IF(YEAR(D39)&amp;"-"&amp;TEXT(WEEKNUM(D39,2),"00")&lt;YEAR(TODAY())&amp;"-"&amp;TEXT(WEEKNUM(TODAY(),2),"00"),"Breached","To be completed"))</f>
        <v>Breached</v>
      </c>
      <c r="L39" s="6"/>
      <c r="M39" s="6"/>
    </row>
    <row r="40" spans="1:13" ht="14.4" x14ac:dyDescent="0.3">
      <c r="A40" s="20" t="s">
        <v>194</v>
      </c>
      <c r="B40" s="56" t="s">
        <v>175</v>
      </c>
      <c r="C40" s="20" t="s">
        <v>174</v>
      </c>
      <c r="D40" s="7">
        <v>45747</v>
      </c>
      <c r="E40" s="7"/>
      <c r="F40" s="46" t="s">
        <v>9</v>
      </c>
      <c r="G40" s="49">
        <v>0</v>
      </c>
      <c r="H40" t="s">
        <v>71</v>
      </c>
      <c r="I40" s="22" t="str">
        <f ca="1">IF(Milestones[[#This Row],[Percent complete]]=100%,"",IF(TODAY()&gt;Milestones[[#This Row],[Planned end date]],_xlfn.TEXTJOIN(" by ",TRUE,"Breached",TODAY()-D40)&amp;" days",""))</f>
        <v>Breached by 22 days</v>
      </c>
      <c r="J40" s="46" t="str">
        <f t="shared" ca="1" si="1"/>
        <v/>
      </c>
      <c r="K40" s="46" t="str">
        <f ca="1">IF(Milestones[[#This Row],[State]]="Closed Complete","",IF(YEAR(D40)&amp;"-"&amp;TEXT(WEEKNUM(D40,2),"00")&lt;YEAR(TODAY())&amp;"-"&amp;TEXT(WEEKNUM(TODAY(),2),"00"),"Breached","To be completed"))</f>
        <v>Breached</v>
      </c>
      <c r="L40" s="6"/>
      <c r="M40" s="6"/>
    </row>
    <row r="41" spans="1:13" ht="14.4" x14ac:dyDescent="0.3">
      <c r="A41" s="20" t="s">
        <v>194</v>
      </c>
      <c r="B41" s="56" t="s">
        <v>175</v>
      </c>
      <c r="C41" s="20" t="s">
        <v>174</v>
      </c>
      <c r="D41" s="7">
        <v>45747</v>
      </c>
      <c r="E41" s="7"/>
      <c r="F41" s="46" t="s">
        <v>10</v>
      </c>
      <c r="G41" s="49">
        <v>0.5</v>
      </c>
      <c r="H41" t="s">
        <v>71</v>
      </c>
      <c r="I41" s="22" t="str">
        <f ca="1">IF(Milestones[[#This Row],[Percent complete]]=100%,"",IF(TODAY()&gt;Milestones[[#This Row],[Planned end date]],_xlfn.TEXTJOIN(" by ",TRUE,"Breached",TODAY()-D41)&amp;" days",""))</f>
        <v>Breached by 22 days</v>
      </c>
      <c r="J41" s="46" t="str">
        <f t="shared" ca="1" si="1"/>
        <v/>
      </c>
      <c r="K41" s="46" t="str">
        <f ca="1">IF(Milestones[[#This Row],[State]]="Closed Complete","",IF(YEAR(D41)&amp;"-"&amp;TEXT(WEEKNUM(D41,2),"00")&lt;YEAR(TODAY())&amp;"-"&amp;TEXT(WEEKNUM(TODAY(),2),"00"),"Breached","To be completed"))</f>
        <v>Breached</v>
      </c>
      <c r="L41" s="6"/>
      <c r="M41" s="6"/>
    </row>
    <row r="42" spans="1:13" ht="14.4" x14ac:dyDescent="0.3">
      <c r="A42" s="20" t="s">
        <v>194</v>
      </c>
      <c r="B42" s="56" t="s">
        <v>175</v>
      </c>
      <c r="C42" s="20" t="s">
        <v>174</v>
      </c>
      <c r="D42" s="7">
        <v>45747</v>
      </c>
      <c r="E42" s="7"/>
      <c r="F42" s="46" t="s">
        <v>9</v>
      </c>
      <c r="G42" s="49">
        <v>0</v>
      </c>
      <c r="H42" t="s">
        <v>71</v>
      </c>
      <c r="I42" s="22" t="str">
        <f ca="1">IF(Milestones[[#This Row],[Percent complete]]=100%,"",IF(TODAY()&gt;Milestones[[#This Row],[Planned end date]],_xlfn.TEXTJOIN(" by ",TRUE,"Breached",TODAY()-D42)&amp;" days",""))</f>
        <v>Breached by 22 days</v>
      </c>
      <c r="J42" s="46" t="str">
        <f t="shared" ca="1" si="1"/>
        <v/>
      </c>
      <c r="K42" s="46" t="str">
        <f ca="1">IF(Milestones[[#This Row],[State]]="Closed Complete","",IF(YEAR(D42)&amp;"-"&amp;TEXT(WEEKNUM(D42,2),"00")&lt;YEAR(TODAY())&amp;"-"&amp;TEXT(WEEKNUM(TODAY(),2),"00"),"Breached","To be completed"))</f>
        <v>Breached</v>
      </c>
      <c r="L42" s="6"/>
      <c r="M42" s="6"/>
    </row>
    <row r="43" spans="1:13" ht="14.4" x14ac:dyDescent="0.3">
      <c r="A43" s="20" t="s">
        <v>194</v>
      </c>
      <c r="B43" s="56" t="s">
        <v>175</v>
      </c>
      <c r="C43" s="20" t="s">
        <v>174</v>
      </c>
      <c r="D43" s="7">
        <v>45747</v>
      </c>
      <c r="E43" s="7"/>
      <c r="F43" s="46" t="s">
        <v>9</v>
      </c>
      <c r="G43" s="49">
        <v>0</v>
      </c>
      <c r="H43" t="s">
        <v>71</v>
      </c>
      <c r="I43" s="22" t="str">
        <f ca="1">IF(Milestones[[#This Row],[Percent complete]]=100%,"",IF(TODAY()&gt;Milestones[[#This Row],[Planned end date]],_xlfn.TEXTJOIN(" by ",TRUE,"Breached",TODAY()-D43)&amp;" days",""))</f>
        <v>Breached by 22 days</v>
      </c>
      <c r="J43" s="46" t="str">
        <f t="shared" ca="1" si="1"/>
        <v/>
      </c>
      <c r="K43" s="46" t="str">
        <f ca="1">IF(Milestones[[#This Row],[State]]="Closed Complete","",IF(YEAR(D43)&amp;"-"&amp;TEXT(WEEKNUM(D43,2),"00")&lt;YEAR(TODAY())&amp;"-"&amp;TEXT(WEEKNUM(TODAY(),2),"00"),"Breached","To be completed"))</f>
        <v>Breached</v>
      </c>
      <c r="L43" s="6"/>
      <c r="M43" s="6"/>
    </row>
    <row r="44" spans="1:13" ht="14.4" x14ac:dyDescent="0.3">
      <c r="A44" s="20" t="s">
        <v>191</v>
      </c>
      <c r="B44" s="56" t="s">
        <v>175</v>
      </c>
      <c r="C44" s="20" t="s">
        <v>174</v>
      </c>
      <c r="D44" s="7">
        <v>45385</v>
      </c>
      <c r="E44" s="7"/>
      <c r="F44" s="46" t="s">
        <v>9</v>
      </c>
      <c r="G44" s="49">
        <v>0</v>
      </c>
      <c r="H44" t="s">
        <v>72</v>
      </c>
      <c r="I44" s="22" t="str">
        <f ca="1">IF(Milestones[[#This Row],[Percent complete]]=100%,"",IF(TODAY()&gt;Milestones[[#This Row],[Planned end date]],_xlfn.TEXTJOIN(" by ",TRUE,"Breached",TODAY()-D44)&amp;" days",""))</f>
        <v>Breached by 384 days</v>
      </c>
      <c r="J44" s="46" t="str">
        <f t="shared" ca="1" si="1"/>
        <v/>
      </c>
      <c r="K44" s="46" t="str">
        <f ca="1">IF(Milestones[[#This Row],[State]]="Closed Complete","",IF(YEAR(D44)&amp;"-"&amp;TEXT(WEEKNUM(D44,2),"00")&lt;YEAR(TODAY())&amp;"-"&amp;TEXT(WEEKNUM(TODAY(),2),"00"),"Breached","To be completed"))</f>
        <v>Breached</v>
      </c>
      <c r="L44" s="6"/>
      <c r="M44" s="6"/>
    </row>
    <row r="45" spans="1:13" ht="14.4" x14ac:dyDescent="0.3">
      <c r="A45" s="20" t="s">
        <v>177</v>
      </c>
      <c r="B45" s="56" t="s">
        <v>175</v>
      </c>
      <c r="C45" s="20" t="s">
        <v>172</v>
      </c>
      <c r="D45" s="7">
        <v>45611</v>
      </c>
      <c r="E45" s="7">
        <v>45611</v>
      </c>
      <c r="F45" s="46" t="s">
        <v>4</v>
      </c>
      <c r="G45" s="49">
        <v>1</v>
      </c>
      <c r="H45" t="s">
        <v>73</v>
      </c>
      <c r="I45" s="22" t="str">
        <f ca="1">IF(Milestones[[#This Row],[Percent complete]]=100%,"",IF(TODAY()&gt;Milestones[[#This Row],[Planned end date]],_xlfn.TEXTJOIN(" by ",TRUE,"Breached",TODAY()-D45)&amp;" days",""))</f>
        <v/>
      </c>
      <c r="J45" s="46" t="str">
        <f t="shared" ca="1" si="1"/>
        <v/>
      </c>
      <c r="K45" s="46" t="str">
        <f ca="1">IF(Milestones[[#This Row],[State]]="Closed Complete","",IF(YEAR(D45)&amp;"-"&amp;TEXT(WEEKNUM(D45,2),"00")&lt;YEAR(TODAY())&amp;"-"&amp;TEXT(WEEKNUM(TODAY(),2),"00"),"Breached","To be completed"))</f>
        <v/>
      </c>
      <c r="L45" s="6"/>
      <c r="M45" s="6"/>
    </row>
    <row r="46" spans="1:13" ht="14.4" x14ac:dyDescent="0.3">
      <c r="A46" s="20" t="s">
        <v>191</v>
      </c>
      <c r="B46" s="56" t="s">
        <v>175</v>
      </c>
      <c r="C46" s="20" t="s">
        <v>174</v>
      </c>
      <c r="D46" s="7">
        <v>45716</v>
      </c>
      <c r="E46" s="7"/>
      <c r="F46" s="46" t="s">
        <v>9</v>
      </c>
      <c r="G46" s="49">
        <v>0</v>
      </c>
      <c r="H46" t="s">
        <v>73</v>
      </c>
      <c r="I46" s="22" t="str">
        <f ca="1">IF(Milestones[[#This Row],[Percent complete]]=100%,"",IF(TODAY()&gt;Milestones[[#This Row],[Planned end date]],_xlfn.TEXTJOIN(" by ",TRUE,"Breached",TODAY()-D46)&amp;" days",""))</f>
        <v>Breached by 53 days</v>
      </c>
      <c r="J46" s="46" t="str">
        <f t="shared" ca="1" si="1"/>
        <v/>
      </c>
      <c r="K46" s="46" t="str">
        <f ca="1">IF(Milestones[[#This Row],[State]]="Closed Complete","",IF(YEAR(D46)&amp;"-"&amp;TEXT(WEEKNUM(D46,2),"00")&lt;YEAR(TODAY())&amp;"-"&amp;TEXT(WEEKNUM(TODAY(),2),"00"),"Breached","To be completed"))</f>
        <v>Breached</v>
      </c>
      <c r="L46" s="6"/>
      <c r="M46" s="6"/>
    </row>
    <row r="47" spans="1:13" ht="14.4" x14ac:dyDescent="0.3">
      <c r="A47" s="20" t="s">
        <v>191</v>
      </c>
      <c r="B47" s="56" t="s">
        <v>175</v>
      </c>
      <c r="C47" s="20" t="s">
        <v>174</v>
      </c>
      <c r="D47" s="7">
        <v>45730</v>
      </c>
      <c r="E47" s="7"/>
      <c r="F47" s="46" t="s">
        <v>9</v>
      </c>
      <c r="G47" s="49">
        <v>0</v>
      </c>
      <c r="H47" t="s">
        <v>73</v>
      </c>
      <c r="I47" s="22" t="str">
        <f ca="1">IF(Milestones[[#This Row],[Percent complete]]=100%,"",IF(TODAY()&gt;Milestones[[#This Row],[Planned end date]],_xlfn.TEXTJOIN(" by ",TRUE,"Breached",TODAY()-D47)&amp;" days",""))</f>
        <v>Breached by 39 days</v>
      </c>
      <c r="J47" s="46" t="str">
        <f t="shared" ca="1" si="1"/>
        <v/>
      </c>
      <c r="K47" s="46" t="str">
        <f ca="1">IF(Milestones[[#This Row],[State]]="Closed Complete","",IF(YEAR(D47)&amp;"-"&amp;TEXT(WEEKNUM(D47,2),"00")&lt;YEAR(TODAY())&amp;"-"&amp;TEXT(WEEKNUM(TODAY(),2),"00"),"Breached","To be completed"))</f>
        <v>Breached</v>
      </c>
      <c r="L47" s="6"/>
      <c r="M47" s="6"/>
    </row>
    <row r="48" spans="1:13" ht="14.4" x14ac:dyDescent="0.3">
      <c r="A48" s="20" t="s">
        <v>191</v>
      </c>
      <c r="B48" s="56" t="s">
        <v>175</v>
      </c>
      <c r="C48" s="20" t="s">
        <v>174</v>
      </c>
      <c r="D48" s="7">
        <v>45749</v>
      </c>
      <c r="E48" s="7"/>
      <c r="F48" s="46" t="s">
        <v>9</v>
      </c>
      <c r="G48" s="49">
        <v>0</v>
      </c>
      <c r="H48" t="s">
        <v>73</v>
      </c>
      <c r="I48" s="22" t="str">
        <f ca="1">IF(Milestones[[#This Row],[Percent complete]]=100%,"",IF(TODAY()&gt;Milestones[[#This Row],[Planned end date]],_xlfn.TEXTJOIN(" by ",TRUE,"Breached",TODAY()-D48)&amp;" days",""))</f>
        <v>Breached by 20 days</v>
      </c>
      <c r="J48" s="46" t="str">
        <f t="shared" ca="1" si="1"/>
        <v/>
      </c>
      <c r="K48" s="46" t="str">
        <f ca="1">IF(Milestones[[#This Row],[State]]="Closed Complete","",IF(YEAR(D48)&amp;"-"&amp;TEXT(WEEKNUM(D48,2),"00")&lt;YEAR(TODAY())&amp;"-"&amp;TEXT(WEEKNUM(TODAY(),2),"00"),"Breached","To be completed"))</f>
        <v>Breached</v>
      </c>
      <c r="L48" s="6"/>
      <c r="M48" s="6"/>
    </row>
    <row r="49" spans="1:13" ht="14.4" x14ac:dyDescent="0.3">
      <c r="A49" s="20" t="s">
        <v>191</v>
      </c>
      <c r="B49" s="56" t="s">
        <v>175</v>
      </c>
      <c r="C49" s="20" t="s">
        <v>174</v>
      </c>
      <c r="D49" s="7">
        <v>45989</v>
      </c>
      <c r="E49" s="7"/>
      <c r="F49" s="46" t="s">
        <v>9</v>
      </c>
      <c r="G49" s="49">
        <v>0</v>
      </c>
      <c r="H49" t="s">
        <v>73</v>
      </c>
      <c r="I49" s="22" t="str">
        <f ca="1">IF(Milestones[[#This Row],[Percent complete]]=100%,"",IF(TODAY()&gt;Milestones[[#This Row],[Planned end date]],_xlfn.TEXTJOIN(" by ",TRUE,"Breached",TODAY()-D49)&amp;" days",""))</f>
        <v/>
      </c>
      <c r="J49" s="46" t="str">
        <f t="shared" ca="1" si="1"/>
        <v/>
      </c>
      <c r="K49" s="46" t="str">
        <f ca="1">IF(Milestones[[#This Row],[State]]="Closed Complete","",IF(YEAR(D49)&amp;"-"&amp;TEXT(WEEKNUM(D49,2),"00")&lt;YEAR(TODAY())&amp;"-"&amp;TEXT(WEEKNUM(TODAY(),2),"00"),"Breached","To be completed"))</f>
        <v>To be completed</v>
      </c>
      <c r="L49" s="6"/>
      <c r="M49" s="6"/>
    </row>
    <row r="50" spans="1:13" ht="14.4" x14ac:dyDescent="0.3">
      <c r="A50" s="20" t="s">
        <v>191</v>
      </c>
      <c r="B50" s="56" t="s">
        <v>175</v>
      </c>
      <c r="C50" s="20" t="s">
        <v>174</v>
      </c>
      <c r="D50" s="7">
        <v>46020</v>
      </c>
      <c r="E50" s="7"/>
      <c r="F50" s="46" t="s">
        <v>9</v>
      </c>
      <c r="G50" s="49">
        <v>0</v>
      </c>
      <c r="H50" t="s">
        <v>73</v>
      </c>
      <c r="I50" s="22" t="str">
        <f ca="1">IF(Milestones[[#This Row],[Percent complete]]=100%,"",IF(TODAY()&gt;Milestones[[#This Row],[Planned end date]],_xlfn.TEXTJOIN(" by ",TRUE,"Breached",TODAY()-D50)&amp;" days",""))</f>
        <v/>
      </c>
      <c r="J50" s="46" t="str">
        <f t="shared" ca="1" si="1"/>
        <v/>
      </c>
      <c r="K50" s="46" t="str">
        <f ca="1">IF(Milestones[[#This Row],[State]]="Closed Complete","",IF(YEAR(D50)&amp;"-"&amp;TEXT(WEEKNUM(D50,2),"00")&lt;YEAR(TODAY())&amp;"-"&amp;TEXT(WEEKNUM(TODAY(),2),"00"),"Breached","To be completed"))</f>
        <v>To be completed</v>
      </c>
      <c r="L50" s="6"/>
      <c r="M50" s="6"/>
    </row>
    <row r="51" spans="1:13" ht="14.4" x14ac:dyDescent="0.3">
      <c r="A51" s="20" t="s">
        <v>191</v>
      </c>
      <c r="B51" s="56" t="s">
        <v>175</v>
      </c>
      <c r="C51" s="20" t="s">
        <v>174</v>
      </c>
      <c r="D51" s="7">
        <v>46034</v>
      </c>
      <c r="E51" s="7"/>
      <c r="F51" s="46" t="s">
        <v>9</v>
      </c>
      <c r="G51" s="49">
        <v>0</v>
      </c>
      <c r="H51" t="s">
        <v>73</v>
      </c>
      <c r="I51" s="22" t="str">
        <f ca="1">IF(Milestones[[#This Row],[Percent complete]]=100%,"",IF(TODAY()&gt;Milestones[[#This Row],[Planned end date]],_xlfn.TEXTJOIN(" by ",TRUE,"Breached",TODAY()-D51)&amp;" days",""))</f>
        <v/>
      </c>
      <c r="J51" s="46" t="str">
        <f t="shared" ca="1" si="1"/>
        <v/>
      </c>
      <c r="K51" s="46" t="str">
        <f ca="1">IF(Milestones[[#This Row],[State]]="Closed Complete","",IF(YEAR(D51)&amp;"-"&amp;TEXT(WEEKNUM(D51,2),"00")&lt;YEAR(TODAY())&amp;"-"&amp;TEXT(WEEKNUM(TODAY(),2),"00"),"Breached","To be completed"))</f>
        <v>To be completed</v>
      </c>
      <c r="L51" s="6"/>
      <c r="M51" s="6"/>
    </row>
    <row r="52" spans="1:13" ht="14.4" x14ac:dyDescent="0.3">
      <c r="A52" s="20" t="s">
        <v>177</v>
      </c>
      <c r="B52" s="56" t="s">
        <v>175</v>
      </c>
      <c r="C52" s="20" t="s">
        <v>172</v>
      </c>
      <c r="D52" s="7">
        <v>45064</v>
      </c>
      <c r="E52" s="7"/>
      <c r="F52" s="46" t="s">
        <v>9</v>
      </c>
      <c r="G52" s="49">
        <v>0</v>
      </c>
      <c r="H52" t="s">
        <v>80</v>
      </c>
      <c r="I52" s="22" t="str">
        <f ca="1">IF(Milestones[[#This Row],[Percent complete]]=100%,"",IF(TODAY()&gt;Milestones[[#This Row],[Planned end date]],_xlfn.TEXTJOIN(" by ",TRUE,"Breached",TODAY()-D52)&amp;" days",""))</f>
        <v>Breached by 705 days</v>
      </c>
      <c r="J52" s="46" t="str">
        <f t="shared" ca="1" si="1"/>
        <v/>
      </c>
      <c r="K52" s="46" t="str">
        <f ca="1">IF(Milestones[[#This Row],[State]]="Closed Complete","",IF(YEAR(D52)&amp;"-"&amp;TEXT(WEEKNUM(D52,2),"00")&lt;YEAR(TODAY())&amp;"-"&amp;TEXT(WEEKNUM(TODAY(),2),"00"),"Breached","To be completed"))</f>
        <v>Breached</v>
      </c>
      <c r="L52" s="6"/>
      <c r="M52" s="6"/>
    </row>
    <row r="53" spans="1:13" ht="14.4" x14ac:dyDescent="0.3">
      <c r="A53" s="20" t="s">
        <v>189</v>
      </c>
      <c r="B53" s="56" t="s">
        <v>175</v>
      </c>
      <c r="C53" s="20" t="s">
        <v>222</v>
      </c>
      <c r="D53" s="7">
        <v>45343</v>
      </c>
      <c r="E53" s="7">
        <v>45343</v>
      </c>
      <c r="F53" s="46" t="s">
        <v>151</v>
      </c>
      <c r="G53" s="49">
        <v>0</v>
      </c>
      <c r="H53" t="s">
        <v>146</v>
      </c>
      <c r="I53" s="22" t="str">
        <f ca="1">IF(Milestones[[#This Row],[Percent complete]]=100%,"",IF(TODAY()&gt;Milestones[[#This Row],[Planned end date]],_xlfn.TEXTJOIN(" by ",TRUE,"Breached",TODAY()-D53)&amp;" days",""))</f>
        <v>Breached by 426 days</v>
      </c>
      <c r="J53" s="46" t="str">
        <f t="shared" ca="1" si="1"/>
        <v/>
      </c>
      <c r="K53" s="46" t="str">
        <f ca="1">IF(Milestones[[#This Row],[State]]="Closed Complete","",IF(YEAR(D53)&amp;"-"&amp;TEXT(WEEKNUM(D53,2),"00")&lt;YEAR(TODAY())&amp;"-"&amp;TEXT(WEEKNUM(TODAY(),2),"00"),"Breached","To be completed"))</f>
        <v>Breached</v>
      </c>
      <c r="L53" s="6"/>
      <c r="M53" s="6"/>
    </row>
    <row r="54" spans="1:13" ht="14.4" x14ac:dyDescent="0.3">
      <c r="A54" s="20" t="s">
        <v>189</v>
      </c>
      <c r="B54" s="56" t="s">
        <v>175</v>
      </c>
      <c r="C54" s="20" t="s">
        <v>222</v>
      </c>
      <c r="D54" s="7">
        <v>45343</v>
      </c>
      <c r="E54" s="7">
        <v>45343</v>
      </c>
      <c r="F54" s="46" t="s">
        <v>151</v>
      </c>
      <c r="G54" s="49">
        <v>0</v>
      </c>
      <c r="H54" t="s">
        <v>146</v>
      </c>
      <c r="I54" s="22" t="str">
        <f ca="1">IF(Milestones[[#This Row],[Percent complete]]=100%,"",IF(TODAY()&gt;Milestones[[#This Row],[Planned end date]],_xlfn.TEXTJOIN(" by ",TRUE,"Breached",TODAY()-D54)&amp;" days",""))</f>
        <v>Breached by 426 days</v>
      </c>
      <c r="J54" s="46" t="str">
        <f t="shared" ca="1" si="1"/>
        <v/>
      </c>
      <c r="K54" s="46" t="str">
        <f ca="1">IF(Milestones[[#This Row],[State]]="Closed Complete","",IF(YEAR(D54)&amp;"-"&amp;TEXT(WEEKNUM(D54,2),"00")&lt;YEAR(TODAY())&amp;"-"&amp;TEXT(WEEKNUM(TODAY(),2),"00"),"Breached","To be completed"))</f>
        <v>Breached</v>
      </c>
      <c r="L54" s="6"/>
      <c r="M54" s="6"/>
    </row>
    <row r="55" spans="1:13" ht="14.4" x14ac:dyDescent="0.3">
      <c r="A55" s="20" t="s">
        <v>189</v>
      </c>
      <c r="B55" s="56" t="s">
        <v>175</v>
      </c>
      <c r="C55" s="20" t="s">
        <v>222</v>
      </c>
      <c r="D55" s="7">
        <v>45422</v>
      </c>
      <c r="E55" s="7">
        <v>45419</v>
      </c>
      <c r="F55" s="46" t="s">
        <v>4</v>
      </c>
      <c r="G55" s="49">
        <v>1</v>
      </c>
      <c r="H55" t="s">
        <v>146</v>
      </c>
      <c r="I55" s="22" t="str">
        <f ca="1">IF(Milestones[[#This Row],[Percent complete]]=100%,"",IF(TODAY()&gt;Milestones[[#This Row],[Planned end date]],_xlfn.TEXTJOIN(" by ",TRUE,"Breached",TODAY()-D55)&amp;" days",""))</f>
        <v/>
      </c>
      <c r="J55" s="46" t="str">
        <f t="shared" ca="1" si="1"/>
        <v/>
      </c>
      <c r="K55" s="46" t="str">
        <f ca="1">IF(Milestones[[#This Row],[State]]="Closed Complete","",IF(YEAR(D55)&amp;"-"&amp;TEXT(WEEKNUM(D55,2),"00")&lt;YEAR(TODAY())&amp;"-"&amp;TEXT(WEEKNUM(TODAY(),2),"00"),"Breached","To be completed"))</f>
        <v/>
      </c>
      <c r="L55" s="6"/>
      <c r="M55" s="6"/>
    </row>
    <row r="56" spans="1:13" ht="14.4" x14ac:dyDescent="0.3">
      <c r="A56" s="20" t="s">
        <v>189</v>
      </c>
      <c r="B56" s="56" t="s">
        <v>175</v>
      </c>
      <c r="C56" s="20" t="s">
        <v>222</v>
      </c>
      <c r="D56" s="7">
        <v>45422</v>
      </c>
      <c r="E56" s="7">
        <v>45419</v>
      </c>
      <c r="F56" s="46" t="s">
        <v>4</v>
      </c>
      <c r="G56" s="49">
        <v>1</v>
      </c>
      <c r="H56" t="s">
        <v>146</v>
      </c>
      <c r="I56" s="22" t="str">
        <f ca="1">IF(Milestones[[#This Row],[Percent complete]]=100%,"",IF(TODAY()&gt;Milestones[[#This Row],[Planned end date]],_xlfn.TEXTJOIN(" by ",TRUE,"Breached",TODAY()-D56)&amp;" days",""))</f>
        <v/>
      </c>
      <c r="J56" s="46" t="str">
        <f t="shared" ca="1" si="1"/>
        <v/>
      </c>
      <c r="K56" s="46" t="str">
        <f ca="1">IF(Milestones[[#This Row],[State]]="Closed Complete","",IF(YEAR(D56)&amp;"-"&amp;TEXT(WEEKNUM(D56,2),"00")&lt;YEAR(TODAY())&amp;"-"&amp;TEXT(WEEKNUM(TODAY(),2),"00"),"Breached","To be completed"))</f>
        <v/>
      </c>
      <c r="L56" s="6"/>
      <c r="M56" s="6"/>
    </row>
    <row r="57" spans="1:13" ht="14.4" x14ac:dyDescent="0.3">
      <c r="A57" s="20" t="s">
        <v>189</v>
      </c>
      <c r="B57" s="56" t="s">
        <v>175</v>
      </c>
      <c r="C57" s="20" t="s">
        <v>222</v>
      </c>
      <c r="D57" s="7">
        <v>45422</v>
      </c>
      <c r="E57" s="7">
        <v>45419</v>
      </c>
      <c r="F57" s="46" t="s">
        <v>4</v>
      </c>
      <c r="G57" s="8">
        <v>1</v>
      </c>
      <c r="H57" t="s">
        <v>146</v>
      </c>
      <c r="I57" s="22" t="str">
        <f ca="1">IF(Milestones[[#This Row],[Percent complete]]=100%,"",IF(TODAY()&gt;Milestones[[#This Row],[Planned end date]],_xlfn.TEXTJOIN(" by ",TRUE,"Breached",TODAY()-D57)&amp;" days",""))</f>
        <v/>
      </c>
      <c r="J57" s="46" t="str">
        <f t="shared" ca="1" si="1"/>
        <v/>
      </c>
      <c r="K57" s="46" t="str">
        <f ca="1">IF(Milestones[[#This Row],[State]]="Closed Complete","",IF(YEAR(D57)&amp;"-"&amp;TEXT(WEEKNUM(D57,2),"00")&lt;YEAR(TODAY())&amp;"-"&amp;TEXT(WEEKNUM(TODAY(),2),"00"),"Breached","To be completed"))</f>
        <v/>
      </c>
      <c r="L57" s="6"/>
      <c r="M57" s="6"/>
    </row>
    <row r="58" spans="1:13" ht="14.4" x14ac:dyDescent="0.3">
      <c r="A58" s="20" t="s">
        <v>189</v>
      </c>
      <c r="B58" s="56" t="s">
        <v>175</v>
      </c>
      <c r="C58" s="20" t="s">
        <v>222</v>
      </c>
      <c r="D58" s="7">
        <v>45422</v>
      </c>
      <c r="E58" s="7">
        <v>45419</v>
      </c>
      <c r="F58" s="46" t="s">
        <v>4</v>
      </c>
      <c r="G58" s="8">
        <v>1</v>
      </c>
      <c r="H58" t="s">
        <v>146</v>
      </c>
      <c r="I58" s="22" t="str">
        <f ca="1">IF(Milestones[[#This Row],[Percent complete]]=100%,"",IF(TODAY()&gt;Milestones[[#This Row],[Planned end date]],_xlfn.TEXTJOIN(" by ",TRUE,"Breached",TODAY()-D58)&amp;" days",""))</f>
        <v/>
      </c>
      <c r="J58" s="46" t="str">
        <f t="shared" ca="1" si="1"/>
        <v/>
      </c>
      <c r="K58" s="46" t="str">
        <f ca="1">IF(Milestones[[#This Row],[State]]="Closed Complete","",IF(YEAR(D58)&amp;"-"&amp;TEXT(WEEKNUM(D58,2),"00")&lt;YEAR(TODAY())&amp;"-"&amp;TEXT(WEEKNUM(TODAY(),2),"00"),"Breached","To be completed"))</f>
        <v/>
      </c>
      <c r="L58" s="6"/>
      <c r="M58" s="6"/>
    </row>
    <row r="59" spans="1:13" ht="14.4" x14ac:dyDescent="0.3">
      <c r="A59" s="20" t="s">
        <v>189</v>
      </c>
      <c r="B59" s="56" t="s">
        <v>175</v>
      </c>
      <c r="C59" s="20" t="s">
        <v>222</v>
      </c>
      <c r="D59" s="7">
        <v>45422</v>
      </c>
      <c r="E59" s="7">
        <v>45419</v>
      </c>
      <c r="F59" s="46" t="s">
        <v>4</v>
      </c>
      <c r="G59" s="8">
        <v>1</v>
      </c>
      <c r="H59" t="s">
        <v>146</v>
      </c>
      <c r="I59" s="22" t="str">
        <f ca="1">IF(Milestones[[#This Row],[Percent complete]]=100%,"",IF(TODAY()&gt;Milestones[[#This Row],[Planned end date]],_xlfn.TEXTJOIN(" by ",TRUE,"Breached",TODAY()-D59)&amp;" days",""))</f>
        <v/>
      </c>
      <c r="J59" s="46" t="str">
        <f t="shared" ca="1" si="1"/>
        <v/>
      </c>
      <c r="K59" s="46" t="str">
        <f ca="1">IF(Milestones[[#This Row],[State]]="Closed Complete","",IF(YEAR(D59)&amp;"-"&amp;TEXT(WEEKNUM(D59,2),"00")&lt;YEAR(TODAY())&amp;"-"&amp;TEXT(WEEKNUM(TODAY(),2),"00"),"Breached","To be completed"))</f>
        <v/>
      </c>
      <c r="L59" s="6"/>
      <c r="M59" s="6"/>
    </row>
    <row r="60" spans="1:13" ht="14.4" x14ac:dyDescent="0.3">
      <c r="A60" s="20" t="s">
        <v>189</v>
      </c>
      <c r="B60" s="56" t="s">
        <v>175</v>
      </c>
      <c r="C60" s="20" t="s">
        <v>222</v>
      </c>
      <c r="D60" s="7">
        <v>45747</v>
      </c>
      <c r="E60" s="7"/>
      <c r="F60" s="46" t="s">
        <v>10</v>
      </c>
      <c r="G60" s="8">
        <v>0.99</v>
      </c>
      <c r="H60" t="s">
        <v>146</v>
      </c>
      <c r="I60" s="22" t="str">
        <f ca="1">IF(Milestones[[#This Row],[Percent complete]]=100%,"",IF(TODAY()&gt;Milestones[[#This Row],[Planned end date]],_xlfn.TEXTJOIN(" by ",TRUE,"Breached",TODAY()-D60)&amp;" days",""))</f>
        <v>Breached by 22 days</v>
      </c>
      <c r="J60" s="46" t="str">
        <f t="shared" ca="1" si="1"/>
        <v/>
      </c>
      <c r="K60" s="46" t="str">
        <f ca="1">IF(Milestones[[#This Row],[State]]="Closed Complete","",IF(YEAR(D60)&amp;"-"&amp;TEXT(WEEKNUM(D60,2),"00")&lt;YEAR(TODAY())&amp;"-"&amp;TEXT(WEEKNUM(TODAY(),2),"00"),"Breached","To be completed"))</f>
        <v>Breached</v>
      </c>
      <c r="L60" s="6"/>
      <c r="M60" s="6"/>
    </row>
    <row r="61" spans="1:13" ht="14.4" x14ac:dyDescent="0.3">
      <c r="A61" s="20" t="s">
        <v>189</v>
      </c>
      <c r="B61" s="56" t="s">
        <v>175</v>
      </c>
      <c r="C61" s="20" t="s">
        <v>222</v>
      </c>
      <c r="D61" s="7">
        <v>45747</v>
      </c>
      <c r="E61" s="7"/>
      <c r="F61" s="46" t="s">
        <v>10</v>
      </c>
      <c r="G61" s="8">
        <v>0.99</v>
      </c>
      <c r="H61" t="s">
        <v>146</v>
      </c>
      <c r="I61" s="22" t="str">
        <f ca="1">IF(Milestones[[#This Row],[Percent complete]]=100%,"",IF(TODAY()&gt;Milestones[[#This Row],[Planned end date]],_xlfn.TEXTJOIN(" by ",TRUE,"Breached",TODAY()-D61)&amp;" days",""))</f>
        <v>Breached by 22 days</v>
      </c>
      <c r="J61" s="46" t="str">
        <f t="shared" ca="1" si="1"/>
        <v/>
      </c>
      <c r="K61" s="46" t="str">
        <f ca="1">IF(Milestones[[#This Row],[State]]="Closed Complete","",IF(YEAR(D61)&amp;"-"&amp;TEXT(WEEKNUM(D61,2),"00")&lt;YEAR(TODAY())&amp;"-"&amp;TEXT(WEEKNUM(TODAY(),2),"00"),"Breached","To be completed"))</f>
        <v>Breached</v>
      </c>
      <c r="L61" s="6"/>
      <c r="M61" s="6"/>
    </row>
    <row r="62" spans="1:13" ht="14.4" x14ac:dyDescent="0.3">
      <c r="A62" s="20" t="s">
        <v>189</v>
      </c>
      <c r="B62" s="56" t="s">
        <v>175</v>
      </c>
      <c r="C62" s="20" t="s">
        <v>222</v>
      </c>
      <c r="D62" s="7">
        <v>45337</v>
      </c>
      <c r="E62" s="7">
        <v>45337</v>
      </c>
      <c r="F62" s="46" t="s">
        <v>4</v>
      </c>
      <c r="G62" s="8">
        <v>1</v>
      </c>
      <c r="H62" t="s">
        <v>147</v>
      </c>
      <c r="I62" s="22" t="str">
        <f ca="1">IF(Milestones[[#This Row],[Percent complete]]=100%,"",IF(TODAY()&gt;Milestones[[#This Row],[Planned end date]],_xlfn.TEXTJOIN(" by ",TRUE,"Breached",TODAY()-D62)&amp;" days",""))</f>
        <v/>
      </c>
      <c r="J62" s="46" t="str">
        <f t="shared" ca="1" si="1"/>
        <v/>
      </c>
      <c r="K62" s="46" t="str">
        <f ca="1">IF(Milestones[[#This Row],[State]]="Closed Complete","",IF(YEAR(D62)&amp;"-"&amp;TEXT(WEEKNUM(D62,2),"00")&lt;YEAR(TODAY())&amp;"-"&amp;TEXT(WEEKNUM(TODAY(),2),"00"),"Breached","To be completed"))</f>
        <v/>
      </c>
      <c r="L62" s="6"/>
      <c r="M62" s="6"/>
    </row>
    <row r="63" spans="1:13" ht="14.4" x14ac:dyDescent="0.3">
      <c r="A63" s="20" t="s">
        <v>189</v>
      </c>
      <c r="B63" s="56" t="s">
        <v>175</v>
      </c>
      <c r="C63" s="20" t="s">
        <v>222</v>
      </c>
      <c r="D63" s="7">
        <v>45359</v>
      </c>
      <c r="E63" s="7">
        <v>45342</v>
      </c>
      <c r="F63" s="46" t="s">
        <v>4</v>
      </c>
      <c r="G63" s="8">
        <v>1</v>
      </c>
      <c r="H63" t="s">
        <v>147</v>
      </c>
      <c r="I63" s="22" t="str">
        <f ca="1">IF(Milestones[[#This Row],[Percent complete]]=100%,"",IF(TODAY()&gt;Milestones[[#This Row],[Planned end date]],_xlfn.TEXTJOIN(" by ",TRUE,"Breached",TODAY()-D63)&amp;" days",""))</f>
        <v/>
      </c>
      <c r="J63" s="46" t="str">
        <f t="shared" ca="1" si="1"/>
        <v/>
      </c>
      <c r="K63" s="46" t="str">
        <f ca="1">IF(Milestones[[#This Row],[State]]="Closed Complete","",IF(YEAR(D63)&amp;"-"&amp;TEXT(WEEKNUM(D63,2),"00")&lt;YEAR(TODAY())&amp;"-"&amp;TEXT(WEEKNUM(TODAY(),2),"00"),"Breached","To be completed"))</f>
        <v/>
      </c>
      <c r="L63" s="6"/>
      <c r="M63" s="6"/>
    </row>
    <row r="64" spans="1:13" ht="14.4" x14ac:dyDescent="0.3">
      <c r="A64" s="20" t="s">
        <v>189</v>
      </c>
      <c r="B64" s="56" t="s">
        <v>175</v>
      </c>
      <c r="C64" s="20" t="s">
        <v>222</v>
      </c>
      <c r="D64" s="7">
        <v>45379</v>
      </c>
      <c r="E64" s="7">
        <v>45379</v>
      </c>
      <c r="F64" s="46" t="s">
        <v>4</v>
      </c>
      <c r="G64" s="8">
        <v>1</v>
      </c>
      <c r="H64" t="s">
        <v>147</v>
      </c>
      <c r="I64" s="22" t="str">
        <f ca="1">IF(Milestones[[#This Row],[Percent complete]]=100%,"",IF(TODAY()&gt;Milestones[[#This Row],[Planned end date]],_xlfn.TEXTJOIN(" by ",TRUE,"Breached",TODAY()-D64)&amp;" days",""))</f>
        <v/>
      </c>
      <c r="J64" s="46" t="str">
        <f t="shared" ca="1" si="1"/>
        <v/>
      </c>
      <c r="K64" s="46" t="str">
        <f ca="1">IF(Milestones[[#This Row],[State]]="Closed Complete","",IF(YEAR(D64)&amp;"-"&amp;TEXT(WEEKNUM(D64,2),"00")&lt;YEAR(TODAY())&amp;"-"&amp;TEXT(WEEKNUM(TODAY(),2),"00"),"Breached","To be completed"))</f>
        <v/>
      </c>
      <c r="L64" s="6"/>
      <c r="M64" s="6"/>
    </row>
    <row r="65" spans="1:13" ht="14.4" x14ac:dyDescent="0.3">
      <c r="A65" s="20" t="s">
        <v>187</v>
      </c>
      <c r="B65" s="56" t="s">
        <v>175</v>
      </c>
      <c r="C65" s="20" t="s">
        <v>222</v>
      </c>
      <c r="D65" s="7">
        <v>45379</v>
      </c>
      <c r="E65" s="7">
        <v>45379</v>
      </c>
      <c r="F65" s="46" t="s">
        <v>4</v>
      </c>
      <c r="G65" s="8">
        <v>1</v>
      </c>
      <c r="H65" t="s">
        <v>147</v>
      </c>
      <c r="I65" s="22" t="str">
        <f ca="1">IF(Milestones[[#This Row],[Percent complete]]=100%,"",IF(TODAY()&gt;Milestones[[#This Row],[Planned end date]],_xlfn.TEXTJOIN(" by ",TRUE,"Breached",TODAY()-D65)&amp;" days",""))</f>
        <v/>
      </c>
      <c r="J65" s="46" t="str">
        <f t="shared" ca="1" si="1"/>
        <v/>
      </c>
      <c r="K65" s="46" t="str">
        <f ca="1">IF(Milestones[[#This Row],[State]]="Closed Complete","",IF(YEAR(D65)&amp;"-"&amp;TEXT(WEEKNUM(D65,2),"00")&lt;YEAR(TODAY())&amp;"-"&amp;TEXT(WEEKNUM(TODAY(),2),"00"),"Breached","To be completed"))</f>
        <v/>
      </c>
      <c r="L65" s="6"/>
      <c r="M65" s="6"/>
    </row>
    <row r="66" spans="1:13" ht="14.4" x14ac:dyDescent="0.3">
      <c r="A66" s="20" t="s">
        <v>187</v>
      </c>
      <c r="B66" s="56" t="s">
        <v>175</v>
      </c>
      <c r="C66" s="20" t="s">
        <v>222</v>
      </c>
      <c r="D66" s="7">
        <v>45379</v>
      </c>
      <c r="E66" s="7">
        <v>45379</v>
      </c>
      <c r="F66" s="46" t="s">
        <v>4</v>
      </c>
      <c r="G66" s="8">
        <v>1</v>
      </c>
      <c r="H66" t="s">
        <v>147</v>
      </c>
      <c r="I66" s="22" t="str">
        <f ca="1">IF(Milestones[[#This Row],[Percent complete]]=100%,"",IF(TODAY()&gt;Milestones[[#This Row],[Planned end date]],_xlfn.TEXTJOIN(" by ",TRUE,"Breached",TODAY()-D66)&amp;" days",""))</f>
        <v/>
      </c>
      <c r="J66" s="46" t="str">
        <f t="shared" ref="J66:J97" ca="1" si="2">IF(AND(E66&lt;&gt;"",E66&gt;=TODAY()-21, E66&lt;=TODAY()),TRUE,"")</f>
        <v/>
      </c>
      <c r="K66" s="46" t="str">
        <f ca="1">IF(Milestones[[#This Row],[State]]="Closed Complete","",IF(YEAR(D66)&amp;"-"&amp;TEXT(WEEKNUM(D66,2),"00")&lt;YEAR(TODAY())&amp;"-"&amp;TEXT(WEEKNUM(TODAY(),2),"00"),"Breached","To be completed"))</f>
        <v/>
      </c>
      <c r="L66" s="6"/>
      <c r="M66" s="6"/>
    </row>
    <row r="67" spans="1:13" ht="14.4" x14ac:dyDescent="0.3">
      <c r="A67" s="20" t="s">
        <v>187</v>
      </c>
      <c r="B67" s="56" t="s">
        <v>175</v>
      </c>
      <c r="C67" s="20" t="s">
        <v>222</v>
      </c>
      <c r="D67" s="7">
        <v>45412</v>
      </c>
      <c r="E67" s="7">
        <v>45411</v>
      </c>
      <c r="F67" s="46" t="s">
        <v>4</v>
      </c>
      <c r="G67" s="8">
        <v>1</v>
      </c>
      <c r="H67" t="s">
        <v>147</v>
      </c>
      <c r="I67" s="22" t="str">
        <f ca="1">IF(Milestones[[#This Row],[Percent complete]]=100%,"",IF(TODAY()&gt;Milestones[[#This Row],[Planned end date]],_xlfn.TEXTJOIN(" by ",TRUE,"Breached",TODAY()-D67)&amp;" days",""))</f>
        <v/>
      </c>
      <c r="J67" s="46" t="str">
        <f t="shared" ca="1" si="2"/>
        <v/>
      </c>
      <c r="K67" s="46" t="str">
        <f ca="1">IF(Milestones[[#This Row],[State]]="Closed Complete","",IF(YEAR(D67)&amp;"-"&amp;TEXT(WEEKNUM(D67,2),"00")&lt;YEAR(TODAY())&amp;"-"&amp;TEXT(WEEKNUM(TODAY(),2),"00"),"Breached","To be completed"))</f>
        <v/>
      </c>
      <c r="L67" s="6"/>
      <c r="M67" s="6"/>
    </row>
    <row r="68" spans="1:13" ht="14.4" x14ac:dyDescent="0.3">
      <c r="A68" s="20" t="s">
        <v>187</v>
      </c>
      <c r="B68" s="56" t="s">
        <v>175</v>
      </c>
      <c r="C68" s="20" t="s">
        <v>222</v>
      </c>
      <c r="D68" s="7">
        <v>45412</v>
      </c>
      <c r="E68" s="7">
        <v>45411</v>
      </c>
      <c r="F68" s="46" t="s">
        <v>4</v>
      </c>
      <c r="G68" s="8">
        <v>1</v>
      </c>
      <c r="H68" t="s">
        <v>147</v>
      </c>
      <c r="I68" s="22" t="str">
        <f ca="1">IF(Milestones[[#This Row],[Percent complete]]=100%,"",IF(TODAY()&gt;Milestones[[#This Row],[Planned end date]],_xlfn.TEXTJOIN(" by ",TRUE,"Breached",TODAY()-D68)&amp;" days",""))</f>
        <v/>
      </c>
      <c r="J68" s="46" t="str">
        <f t="shared" ca="1" si="2"/>
        <v/>
      </c>
      <c r="K68" s="46" t="str">
        <f ca="1">IF(Milestones[[#This Row],[State]]="Closed Complete","",IF(YEAR(D68)&amp;"-"&amp;TEXT(WEEKNUM(D68,2),"00")&lt;YEAR(TODAY())&amp;"-"&amp;TEXT(WEEKNUM(TODAY(),2),"00"),"Breached","To be completed"))</f>
        <v/>
      </c>
      <c r="L68" s="6"/>
      <c r="M68" s="6"/>
    </row>
    <row r="69" spans="1:13" ht="14.4" x14ac:dyDescent="0.3">
      <c r="A69" s="20" t="s">
        <v>187</v>
      </c>
      <c r="B69" s="56" t="s">
        <v>175</v>
      </c>
      <c r="C69" s="20" t="s">
        <v>222</v>
      </c>
      <c r="D69" s="7">
        <v>45412</v>
      </c>
      <c r="E69" s="7">
        <v>45411</v>
      </c>
      <c r="F69" s="46" t="s">
        <v>4</v>
      </c>
      <c r="G69" s="8">
        <v>1</v>
      </c>
      <c r="H69" t="s">
        <v>147</v>
      </c>
      <c r="I69" s="22" t="str">
        <f ca="1">IF(Milestones[[#This Row],[Percent complete]]=100%,"",IF(TODAY()&gt;Milestones[[#This Row],[Planned end date]],_xlfn.TEXTJOIN(" by ",TRUE,"Breached",TODAY()-D69)&amp;" days",""))</f>
        <v/>
      </c>
      <c r="J69" s="46" t="str">
        <f t="shared" ca="1" si="2"/>
        <v/>
      </c>
      <c r="K69" s="46" t="str">
        <f ca="1">IF(Milestones[[#This Row],[State]]="Closed Complete","",IF(YEAR(D69)&amp;"-"&amp;TEXT(WEEKNUM(D69,2),"00")&lt;YEAR(TODAY())&amp;"-"&amp;TEXT(WEEKNUM(TODAY(),2),"00"),"Breached","To be completed"))</f>
        <v/>
      </c>
      <c r="L69" s="6"/>
      <c r="M69" s="6"/>
    </row>
    <row r="70" spans="1:13" ht="14.4" x14ac:dyDescent="0.3">
      <c r="A70" s="20" t="s">
        <v>187</v>
      </c>
      <c r="B70" s="56" t="s">
        <v>175</v>
      </c>
      <c r="C70" s="20" t="s">
        <v>222</v>
      </c>
      <c r="D70" s="7">
        <v>45412</v>
      </c>
      <c r="E70" s="7">
        <v>45411</v>
      </c>
      <c r="F70" s="46" t="s">
        <v>4</v>
      </c>
      <c r="G70" s="8">
        <v>1</v>
      </c>
      <c r="H70" t="s">
        <v>147</v>
      </c>
      <c r="I70" s="22" t="str">
        <f ca="1">IF(Milestones[[#This Row],[Percent complete]]=100%,"",IF(TODAY()&gt;Milestones[[#This Row],[Planned end date]],_xlfn.TEXTJOIN(" by ",TRUE,"Breached",TODAY()-D70)&amp;" days",""))</f>
        <v/>
      </c>
      <c r="J70" s="46" t="str">
        <f t="shared" ca="1" si="2"/>
        <v/>
      </c>
      <c r="K70" s="46" t="str">
        <f ca="1">IF(Milestones[[#This Row],[State]]="Closed Complete","",IF(YEAR(D70)&amp;"-"&amp;TEXT(WEEKNUM(D70,2),"00")&lt;YEAR(TODAY())&amp;"-"&amp;TEXT(WEEKNUM(TODAY(),2),"00"),"Breached","To be completed"))</f>
        <v/>
      </c>
      <c r="L70" s="6"/>
      <c r="M70" s="6"/>
    </row>
    <row r="71" spans="1:13" ht="14.4" x14ac:dyDescent="0.3">
      <c r="A71" s="20" t="s">
        <v>187</v>
      </c>
      <c r="B71" s="56" t="s">
        <v>175</v>
      </c>
      <c r="C71" s="20" t="s">
        <v>222</v>
      </c>
      <c r="D71" s="7">
        <v>45412</v>
      </c>
      <c r="E71" s="7">
        <v>45411</v>
      </c>
      <c r="F71" s="46" t="s">
        <v>4</v>
      </c>
      <c r="G71" s="8">
        <v>1</v>
      </c>
      <c r="H71" t="s">
        <v>147</v>
      </c>
      <c r="I71" s="22" t="str">
        <f ca="1">IF(Milestones[[#This Row],[Percent complete]]=100%,"",IF(TODAY()&gt;Milestones[[#This Row],[Planned end date]],_xlfn.TEXTJOIN(" by ",TRUE,"Breached",TODAY()-D71)&amp;" days",""))</f>
        <v/>
      </c>
      <c r="J71" s="46" t="str">
        <f t="shared" ca="1" si="2"/>
        <v/>
      </c>
      <c r="K71" s="46" t="str">
        <f ca="1">IF(Milestones[[#This Row],[State]]="Closed Complete","",IF(YEAR(D71)&amp;"-"&amp;TEXT(WEEKNUM(D71,2),"00")&lt;YEAR(TODAY())&amp;"-"&amp;TEXT(WEEKNUM(TODAY(),2),"00"),"Breached","To be completed"))</f>
        <v/>
      </c>
      <c r="L71" s="6"/>
      <c r="M71" s="6"/>
    </row>
    <row r="72" spans="1:13" ht="14.4" x14ac:dyDescent="0.3">
      <c r="A72" s="20" t="s">
        <v>187</v>
      </c>
      <c r="B72" s="56" t="s">
        <v>175</v>
      </c>
      <c r="C72" s="20" t="s">
        <v>222</v>
      </c>
      <c r="D72" s="7">
        <v>45412</v>
      </c>
      <c r="E72" s="7">
        <v>45411</v>
      </c>
      <c r="F72" s="46" t="s">
        <v>4</v>
      </c>
      <c r="G72" s="8">
        <v>1</v>
      </c>
      <c r="H72" t="s">
        <v>147</v>
      </c>
      <c r="I72" s="22" t="str">
        <f ca="1">IF(Milestones[[#This Row],[Percent complete]]=100%,"",IF(TODAY()&gt;Milestones[[#This Row],[Planned end date]],_xlfn.TEXTJOIN(" by ",TRUE,"Breached",TODAY()-D72)&amp;" days",""))</f>
        <v/>
      </c>
      <c r="J72" s="46" t="str">
        <f t="shared" ca="1" si="2"/>
        <v/>
      </c>
      <c r="K72" s="46" t="str">
        <f ca="1">IF(Milestones[[#This Row],[State]]="Closed Complete","",IF(YEAR(D72)&amp;"-"&amp;TEXT(WEEKNUM(D72,2),"00")&lt;YEAR(TODAY())&amp;"-"&amp;TEXT(WEEKNUM(TODAY(),2),"00"),"Breached","To be completed"))</f>
        <v/>
      </c>
      <c r="L72" s="6"/>
      <c r="M72" s="6"/>
    </row>
    <row r="73" spans="1:13" ht="14.4" x14ac:dyDescent="0.3">
      <c r="A73" s="20" t="s">
        <v>187</v>
      </c>
      <c r="B73" s="56" t="s">
        <v>175</v>
      </c>
      <c r="C73" s="20" t="s">
        <v>222</v>
      </c>
      <c r="D73" s="7">
        <v>45422</v>
      </c>
      <c r="E73" s="7">
        <v>45425</v>
      </c>
      <c r="F73" s="46" t="s">
        <v>4</v>
      </c>
      <c r="G73" s="8">
        <v>1</v>
      </c>
      <c r="H73" t="s">
        <v>147</v>
      </c>
      <c r="I73" s="22" t="str">
        <f ca="1">IF(Milestones[[#This Row],[Percent complete]]=100%,"",IF(TODAY()&gt;Milestones[[#This Row],[Planned end date]],_xlfn.TEXTJOIN(" by ",TRUE,"Breached",TODAY()-D73)&amp;" days",""))</f>
        <v/>
      </c>
      <c r="J73" s="46" t="str">
        <f t="shared" ca="1" si="2"/>
        <v/>
      </c>
      <c r="K73" s="46" t="str">
        <f ca="1">IF(Milestones[[#This Row],[State]]="Closed Complete","",IF(YEAR(D73)&amp;"-"&amp;TEXT(WEEKNUM(D73,2),"00")&lt;YEAR(TODAY())&amp;"-"&amp;TEXT(WEEKNUM(TODAY(),2),"00"),"Breached","To be completed"))</f>
        <v/>
      </c>
      <c r="L73" s="6"/>
      <c r="M73" s="6"/>
    </row>
    <row r="74" spans="1:13" ht="14.4" x14ac:dyDescent="0.3">
      <c r="A74" s="20" t="s">
        <v>187</v>
      </c>
      <c r="B74" s="56" t="s">
        <v>175</v>
      </c>
      <c r="C74" s="20" t="s">
        <v>222</v>
      </c>
      <c r="D74" s="7">
        <v>45422</v>
      </c>
      <c r="E74" s="7">
        <v>45419</v>
      </c>
      <c r="F74" s="46" t="s">
        <v>4</v>
      </c>
      <c r="G74" s="8">
        <v>1</v>
      </c>
      <c r="H74" t="s">
        <v>147</v>
      </c>
      <c r="I74" s="22" t="str">
        <f ca="1">IF(Milestones[[#This Row],[Percent complete]]=100%,"",IF(TODAY()&gt;Milestones[[#This Row],[Planned end date]],_xlfn.TEXTJOIN(" by ",TRUE,"Breached",TODAY()-D74)&amp;" days",""))</f>
        <v/>
      </c>
      <c r="J74" s="46" t="str">
        <f t="shared" ca="1" si="2"/>
        <v/>
      </c>
      <c r="K74" s="46" t="str">
        <f ca="1">IF(Milestones[[#This Row],[State]]="Closed Complete","",IF(YEAR(D74)&amp;"-"&amp;TEXT(WEEKNUM(D74,2),"00")&lt;YEAR(TODAY())&amp;"-"&amp;TEXT(WEEKNUM(TODAY(),2),"00"),"Breached","To be completed"))</f>
        <v/>
      </c>
      <c r="L74" s="6"/>
      <c r="M74" s="6"/>
    </row>
    <row r="75" spans="1:13" ht="14.4" x14ac:dyDescent="0.3">
      <c r="A75" s="20" t="s">
        <v>187</v>
      </c>
      <c r="B75" s="56" t="s">
        <v>175</v>
      </c>
      <c r="C75" s="20" t="s">
        <v>222</v>
      </c>
      <c r="D75" s="7">
        <v>45747</v>
      </c>
      <c r="E75" s="7"/>
      <c r="F75" s="46" t="s">
        <v>10</v>
      </c>
      <c r="G75" s="8">
        <v>0.99</v>
      </c>
      <c r="H75" t="s">
        <v>147</v>
      </c>
      <c r="I75" s="22" t="str">
        <f ca="1">IF(Milestones[[#This Row],[Percent complete]]=100%,"",IF(TODAY()&gt;Milestones[[#This Row],[Planned end date]],_xlfn.TEXTJOIN(" by ",TRUE,"Breached",TODAY()-D75)&amp;" days",""))</f>
        <v>Breached by 22 days</v>
      </c>
      <c r="J75" s="46" t="str">
        <f t="shared" ca="1" si="2"/>
        <v/>
      </c>
      <c r="K75" s="46" t="str">
        <f ca="1">IF(Milestones[[#This Row],[State]]="Closed Complete","",IF(YEAR(D75)&amp;"-"&amp;TEXT(WEEKNUM(D75,2),"00")&lt;YEAR(TODAY())&amp;"-"&amp;TEXT(WEEKNUM(TODAY(),2),"00"),"Breached","To be completed"))</f>
        <v>Breached</v>
      </c>
      <c r="L75" s="6"/>
      <c r="M75" s="6"/>
    </row>
    <row r="76" spans="1:13" ht="14.4" x14ac:dyDescent="0.3">
      <c r="A76" s="20" t="s">
        <v>187</v>
      </c>
      <c r="B76" s="56" t="s">
        <v>175</v>
      </c>
      <c r="C76" s="20" t="s">
        <v>222</v>
      </c>
      <c r="D76" s="7">
        <v>45747</v>
      </c>
      <c r="E76" s="7"/>
      <c r="F76" s="46" t="s">
        <v>10</v>
      </c>
      <c r="G76" s="8">
        <v>0.99</v>
      </c>
      <c r="H76" t="s">
        <v>147</v>
      </c>
      <c r="I76" s="22" t="str">
        <f ca="1">IF(Milestones[[#This Row],[Percent complete]]=100%,"",IF(TODAY()&gt;Milestones[[#This Row],[Planned end date]],_xlfn.TEXTJOIN(" by ",TRUE,"Breached",TODAY()-D76)&amp;" days",""))</f>
        <v>Breached by 22 days</v>
      </c>
      <c r="J76" s="46" t="str">
        <f t="shared" ca="1" si="2"/>
        <v/>
      </c>
      <c r="K76" s="46" t="str">
        <f ca="1">IF(Milestones[[#This Row],[State]]="Closed Complete","",IF(YEAR(D76)&amp;"-"&amp;TEXT(WEEKNUM(D76,2),"00")&lt;YEAR(TODAY())&amp;"-"&amp;TEXT(WEEKNUM(TODAY(),2),"00"),"Breached","To be completed"))</f>
        <v>Breached</v>
      </c>
      <c r="L76" s="6"/>
      <c r="M76" s="6"/>
    </row>
    <row r="77" spans="1:13" ht="14.4" x14ac:dyDescent="0.3">
      <c r="A77" s="20" t="s">
        <v>197</v>
      </c>
      <c r="B77" s="56" t="s">
        <v>175</v>
      </c>
      <c r="C77" s="20" t="s">
        <v>222</v>
      </c>
      <c r="D77" s="7">
        <v>45180</v>
      </c>
      <c r="E77" s="7">
        <v>45180</v>
      </c>
      <c r="F77" s="46" t="s">
        <v>4</v>
      </c>
      <c r="G77" s="8">
        <v>1</v>
      </c>
      <c r="H77" t="s">
        <v>148</v>
      </c>
      <c r="I77" s="22" t="str">
        <f ca="1">IF(Milestones[[#This Row],[Percent complete]]=100%,"",IF(TODAY()&gt;Milestones[[#This Row],[Planned end date]],_xlfn.TEXTJOIN(" by ",TRUE,"Breached",TODAY()-D77)&amp;" days",""))</f>
        <v/>
      </c>
      <c r="J77" s="46" t="str">
        <f t="shared" ca="1" si="2"/>
        <v/>
      </c>
      <c r="K77" s="46" t="str">
        <f ca="1">IF(Milestones[[#This Row],[State]]="Closed Complete","",IF(YEAR(D77)&amp;"-"&amp;TEXT(WEEKNUM(D77,2),"00")&lt;YEAR(TODAY())&amp;"-"&amp;TEXT(WEEKNUM(TODAY(),2),"00"),"Breached","To be completed"))</f>
        <v/>
      </c>
      <c r="L77" s="6"/>
      <c r="M77" s="6"/>
    </row>
    <row r="78" spans="1:13" ht="14.4" x14ac:dyDescent="0.3">
      <c r="A78" s="20" t="s">
        <v>197</v>
      </c>
      <c r="B78" s="56" t="s">
        <v>175</v>
      </c>
      <c r="C78" s="20" t="s">
        <v>222</v>
      </c>
      <c r="D78" s="7">
        <v>45180</v>
      </c>
      <c r="E78" s="7">
        <v>45180</v>
      </c>
      <c r="F78" s="46" t="s">
        <v>4</v>
      </c>
      <c r="G78" s="8">
        <v>1</v>
      </c>
      <c r="H78" t="s">
        <v>148</v>
      </c>
      <c r="I78" s="22" t="str">
        <f ca="1">IF(Milestones[[#This Row],[Percent complete]]=100%,"",IF(TODAY()&gt;Milestones[[#This Row],[Planned end date]],_xlfn.TEXTJOIN(" by ",TRUE,"Breached",TODAY()-D78)&amp;" days",""))</f>
        <v/>
      </c>
      <c r="J78" s="46" t="str">
        <f t="shared" ca="1" si="2"/>
        <v/>
      </c>
      <c r="K78" s="46" t="str">
        <f ca="1">IF(Milestones[[#This Row],[State]]="Closed Complete","",IF(YEAR(D78)&amp;"-"&amp;TEXT(WEEKNUM(D78,2),"00")&lt;YEAR(TODAY())&amp;"-"&amp;TEXT(WEEKNUM(TODAY(),2),"00"),"Breached","To be completed"))</f>
        <v/>
      </c>
      <c r="L78" s="6"/>
      <c r="M78" s="6"/>
    </row>
    <row r="79" spans="1:13" ht="14.4" x14ac:dyDescent="0.3">
      <c r="A79" s="20" t="s">
        <v>197</v>
      </c>
      <c r="B79" s="56" t="s">
        <v>175</v>
      </c>
      <c r="C79" s="20" t="s">
        <v>222</v>
      </c>
      <c r="D79" s="7">
        <v>45233</v>
      </c>
      <c r="E79" s="7">
        <v>45233</v>
      </c>
      <c r="F79" s="46" t="s">
        <v>4</v>
      </c>
      <c r="G79" s="8">
        <v>1</v>
      </c>
      <c r="H79" t="s">
        <v>148</v>
      </c>
      <c r="I79" s="22" t="str">
        <f ca="1">IF(Milestones[[#This Row],[Percent complete]]=100%,"",IF(TODAY()&gt;Milestones[[#This Row],[Planned end date]],_xlfn.TEXTJOIN(" by ",TRUE,"Breached",TODAY()-D79)&amp;" days",""))</f>
        <v/>
      </c>
      <c r="J79" s="46" t="str">
        <f t="shared" ca="1" si="2"/>
        <v/>
      </c>
      <c r="K79" s="46" t="str">
        <f ca="1">IF(Milestones[[#This Row],[State]]="Closed Complete","",IF(YEAR(D79)&amp;"-"&amp;TEXT(WEEKNUM(D79,2),"00")&lt;YEAR(TODAY())&amp;"-"&amp;TEXT(WEEKNUM(TODAY(),2),"00"),"Breached","To be completed"))</f>
        <v/>
      </c>
      <c r="L79" s="6"/>
      <c r="M79" s="6"/>
    </row>
    <row r="80" spans="1:13" ht="14.4" x14ac:dyDescent="0.3">
      <c r="A80" s="20" t="s">
        <v>197</v>
      </c>
      <c r="B80" s="56" t="s">
        <v>175</v>
      </c>
      <c r="C80" s="20" t="s">
        <v>222</v>
      </c>
      <c r="D80" s="7">
        <v>45412</v>
      </c>
      <c r="E80" s="7">
        <v>45411</v>
      </c>
      <c r="F80" s="46" t="s">
        <v>4</v>
      </c>
      <c r="G80" s="8">
        <v>1</v>
      </c>
      <c r="H80" t="s">
        <v>148</v>
      </c>
      <c r="I80" s="22" t="str">
        <f ca="1">IF(Milestones[[#This Row],[Percent complete]]=100%,"",IF(TODAY()&gt;Milestones[[#This Row],[Planned end date]],_xlfn.TEXTJOIN(" by ",TRUE,"Breached",TODAY()-D80)&amp;" days",""))</f>
        <v/>
      </c>
      <c r="J80" s="46" t="str">
        <f t="shared" ca="1" si="2"/>
        <v/>
      </c>
      <c r="K80" s="46" t="str">
        <f ca="1">IF(Milestones[[#This Row],[State]]="Closed Complete","",IF(YEAR(D80)&amp;"-"&amp;TEXT(WEEKNUM(D80,2),"00")&lt;YEAR(TODAY())&amp;"-"&amp;TEXT(WEEKNUM(TODAY(),2),"00"),"Breached","To be completed"))</f>
        <v/>
      </c>
      <c r="L80" s="6"/>
      <c r="M80" s="6"/>
    </row>
    <row r="81" spans="1:13" ht="14.4" x14ac:dyDescent="0.3">
      <c r="A81" s="20" t="s">
        <v>197</v>
      </c>
      <c r="B81" s="56" t="s">
        <v>175</v>
      </c>
      <c r="C81" s="20" t="s">
        <v>222</v>
      </c>
      <c r="D81" s="7">
        <v>45412</v>
      </c>
      <c r="E81" s="7">
        <v>45411</v>
      </c>
      <c r="F81" s="46" t="s">
        <v>4</v>
      </c>
      <c r="G81" s="8">
        <v>1</v>
      </c>
      <c r="H81" t="s">
        <v>148</v>
      </c>
      <c r="I81" s="22" t="str">
        <f ca="1">IF(Milestones[[#This Row],[Percent complete]]=100%,"",IF(TODAY()&gt;Milestones[[#This Row],[Planned end date]],_xlfn.TEXTJOIN(" by ",TRUE,"Breached",TODAY()-D81)&amp;" days",""))</f>
        <v/>
      </c>
      <c r="J81" s="46" t="str">
        <f t="shared" ca="1" si="2"/>
        <v/>
      </c>
      <c r="K81" s="46" t="str">
        <f ca="1">IF(Milestones[[#This Row],[State]]="Closed Complete","",IF(YEAR(D81)&amp;"-"&amp;TEXT(WEEKNUM(D81,2),"00")&lt;YEAR(TODAY())&amp;"-"&amp;TEXT(WEEKNUM(TODAY(),2),"00"),"Breached","To be completed"))</f>
        <v/>
      </c>
      <c r="L81" s="6"/>
      <c r="M81" s="6"/>
    </row>
    <row r="82" spans="1:13" ht="14.4" x14ac:dyDescent="0.3">
      <c r="A82" s="20" t="s">
        <v>197</v>
      </c>
      <c r="B82" s="56" t="s">
        <v>175</v>
      </c>
      <c r="C82" s="20" t="s">
        <v>222</v>
      </c>
      <c r="D82" s="7">
        <v>45412</v>
      </c>
      <c r="E82" s="7">
        <v>45411</v>
      </c>
      <c r="F82" s="46" t="s">
        <v>4</v>
      </c>
      <c r="G82" s="8">
        <v>1</v>
      </c>
      <c r="H82" t="s">
        <v>148</v>
      </c>
      <c r="I82" s="22" t="str">
        <f ca="1">IF(Milestones[[#This Row],[Percent complete]]=100%,"",IF(TODAY()&gt;Milestones[[#This Row],[Planned end date]],_xlfn.TEXTJOIN(" by ",TRUE,"Breached",TODAY()-D82)&amp;" days",""))</f>
        <v/>
      </c>
      <c r="J82" s="46" t="str">
        <f t="shared" ca="1" si="2"/>
        <v/>
      </c>
      <c r="K82" s="46" t="str">
        <f ca="1">IF(Milestones[[#This Row],[State]]="Closed Complete","",IF(YEAR(D82)&amp;"-"&amp;TEXT(WEEKNUM(D82,2),"00")&lt;YEAR(TODAY())&amp;"-"&amp;TEXT(WEEKNUM(TODAY(),2),"00"),"Breached","To be completed"))</f>
        <v/>
      </c>
      <c r="L82" s="6"/>
      <c r="M82" s="6"/>
    </row>
    <row r="83" spans="1:13" ht="14.4" x14ac:dyDescent="0.3">
      <c r="A83" s="20" t="s">
        <v>197</v>
      </c>
      <c r="B83" s="56" t="s">
        <v>175</v>
      </c>
      <c r="C83" s="20" t="s">
        <v>222</v>
      </c>
      <c r="D83" s="7">
        <v>45625</v>
      </c>
      <c r="E83" s="7">
        <v>45625</v>
      </c>
      <c r="F83" s="46" t="s">
        <v>4</v>
      </c>
      <c r="G83" s="8">
        <v>1</v>
      </c>
      <c r="H83" t="s">
        <v>148</v>
      </c>
      <c r="I83" s="22" t="str">
        <f ca="1">IF(Milestones[[#This Row],[Percent complete]]=100%,"",IF(TODAY()&gt;Milestones[[#This Row],[Planned end date]],_xlfn.TEXTJOIN(" by ",TRUE,"Breached",TODAY()-D83)&amp;" days",""))</f>
        <v/>
      </c>
      <c r="J83" s="46" t="str">
        <f t="shared" ca="1" si="2"/>
        <v/>
      </c>
      <c r="K83" s="46" t="str">
        <f ca="1">IF(Milestones[[#This Row],[State]]="Closed Complete","",IF(YEAR(D83)&amp;"-"&amp;TEXT(WEEKNUM(D83,2),"00")&lt;YEAR(TODAY())&amp;"-"&amp;TEXT(WEEKNUM(TODAY(),2),"00"),"Breached","To be completed"))</f>
        <v/>
      </c>
      <c r="L83" s="6"/>
      <c r="M83" s="6"/>
    </row>
    <row r="84" spans="1:13" ht="14.4" x14ac:dyDescent="0.3">
      <c r="A84" s="20" t="s">
        <v>197</v>
      </c>
      <c r="B84" s="56" t="s">
        <v>175</v>
      </c>
      <c r="C84" s="20" t="s">
        <v>222</v>
      </c>
      <c r="D84" s="7">
        <v>45671</v>
      </c>
      <c r="E84" s="7">
        <v>45671</v>
      </c>
      <c r="F84" s="46" t="s">
        <v>4</v>
      </c>
      <c r="G84" s="8">
        <v>1</v>
      </c>
      <c r="H84" t="s">
        <v>148</v>
      </c>
      <c r="I84" s="22" t="str">
        <f ca="1">IF(Milestones[[#This Row],[Percent complete]]=100%,"",IF(TODAY()&gt;Milestones[[#This Row],[Planned end date]],_xlfn.TEXTJOIN(" by ",TRUE,"Breached",TODAY()-D84)&amp;" days",""))</f>
        <v/>
      </c>
      <c r="J84" s="46" t="str">
        <f t="shared" ca="1" si="2"/>
        <v/>
      </c>
      <c r="K84" s="46" t="str">
        <f ca="1">IF(Milestones[[#This Row],[State]]="Closed Complete","",IF(YEAR(D84)&amp;"-"&amp;TEXT(WEEKNUM(D84,2),"00")&lt;YEAR(TODAY())&amp;"-"&amp;TEXT(WEEKNUM(TODAY(),2),"00"),"Breached","To be completed"))</f>
        <v/>
      </c>
      <c r="L84" s="6"/>
      <c r="M84" s="6"/>
    </row>
    <row r="85" spans="1:13" ht="14.4" x14ac:dyDescent="0.3">
      <c r="A85" s="20" t="s">
        <v>197</v>
      </c>
      <c r="B85" s="56" t="s">
        <v>175</v>
      </c>
      <c r="C85" s="20" t="s">
        <v>222</v>
      </c>
      <c r="D85" s="7">
        <v>45747</v>
      </c>
      <c r="E85" s="7"/>
      <c r="F85" s="46" t="s">
        <v>10</v>
      </c>
      <c r="G85" s="8">
        <v>0.99</v>
      </c>
      <c r="H85" t="s">
        <v>148</v>
      </c>
      <c r="I85" s="22" t="str">
        <f ca="1">IF(Milestones[[#This Row],[Percent complete]]=100%,"",IF(TODAY()&gt;Milestones[[#This Row],[Planned end date]],_xlfn.TEXTJOIN(" by ",TRUE,"Breached",TODAY()-D85)&amp;" days",""))</f>
        <v>Breached by 22 days</v>
      </c>
      <c r="J85" s="46" t="str">
        <f t="shared" ca="1" si="2"/>
        <v/>
      </c>
      <c r="K85" s="46" t="str">
        <f ca="1">IF(Milestones[[#This Row],[State]]="Closed Complete","",IF(YEAR(D85)&amp;"-"&amp;TEXT(WEEKNUM(D85,2),"00")&lt;YEAR(TODAY())&amp;"-"&amp;TEXT(WEEKNUM(TODAY(),2),"00"),"Breached","To be completed"))</f>
        <v>Breached</v>
      </c>
      <c r="L85" s="6"/>
      <c r="M85" s="6"/>
    </row>
    <row r="86" spans="1:13" ht="14.4" x14ac:dyDescent="0.3">
      <c r="A86" s="20" t="s">
        <v>197</v>
      </c>
      <c r="B86" s="56" t="s">
        <v>175</v>
      </c>
      <c r="C86" s="20" t="s">
        <v>222</v>
      </c>
      <c r="D86" s="7">
        <v>45747</v>
      </c>
      <c r="E86" s="7"/>
      <c r="F86" s="46" t="s">
        <v>10</v>
      </c>
      <c r="G86" s="8">
        <v>0.99</v>
      </c>
      <c r="H86" t="s">
        <v>148</v>
      </c>
      <c r="I86" s="22" t="str">
        <f ca="1">IF(Milestones[[#This Row],[Percent complete]]=100%,"",IF(TODAY()&gt;Milestones[[#This Row],[Planned end date]],_xlfn.TEXTJOIN(" by ",TRUE,"Breached",TODAY()-D86)&amp;" days",""))</f>
        <v>Breached by 22 days</v>
      </c>
      <c r="J86" s="46" t="str">
        <f t="shared" ca="1" si="2"/>
        <v/>
      </c>
      <c r="K86" s="46" t="str">
        <f ca="1">IF(Milestones[[#This Row],[State]]="Closed Complete","",IF(YEAR(D86)&amp;"-"&amp;TEXT(WEEKNUM(D86,2),"00")&lt;YEAR(TODAY())&amp;"-"&amp;TEXT(WEEKNUM(TODAY(),2),"00"),"Breached","To be completed"))</f>
        <v>Breached</v>
      </c>
      <c r="L86" s="6"/>
      <c r="M86" s="6"/>
    </row>
    <row r="87" spans="1:13" ht="14.4" x14ac:dyDescent="0.3">
      <c r="A87" s="20" t="s">
        <v>179</v>
      </c>
      <c r="B87" s="56" t="s">
        <v>175</v>
      </c>
      <c r="C87" s="20" t="s">
        <v>222</v>
      </c>
      <c r="D87" s="7">
        <v>45412</v>
      </c>
      <c r="E87" s="7">
        <v>45411</v>
      </c>
      <c r="F87" s="46" t="s">
        <v>4</v>
      </c>
      <c r="G87" s="8">
        <v>1</v>
      </c>
      <c r="H87" t="s">
        <v>149</v>
      </c>
      <c r="I87" s="22" t="str">
        <f ca="1">IF(Milestones[[#This Row],[Percent complete]]=100%,"",IF(TODAY()&gt;Milestones[[#This Row],[Planned end date]],_xlfn.TEXTJOIN(" by ",TRUE,"Breached",TODAY()-D87)&amp;" days",""))</f>
        <v/>
      </c>
      <c r="J87" s="46" t="str">
        <f t="shared" ca="1" si="2"/>
        <v/>
      </c>
      <c r="K87" s="46" t="str">
        <f ca="1">IF(Milestones[[#This Row],[State]]="Closed Complete","",IF(YEAR(D87)&amp;"-"&amp;TEXT(WEEKNUM(D87,2),"00")&lt;YEAR(TODAY())&amp;"-"&amp;TEXT(WEEKNUM(TODAY(),2),"00"),"Breached","To be completed"))</f>
        <v/>
      </c>
      <c r="L87" s="6"/>
      <c r="M87" s="6"/>
    </row>
    <row r="88" spans="1:13" ht="14.4" x14ac:dyDescent="0.3">
      <c r="A88" s="20" t="s">
        <v>179</v>
      </c>
      <c r="B88" s="56" t="s">
        <v>175</v>
      </c>
      <c r="C88" s="20" t="s">
        <v>222</v>
      </c>
      <c r="D88" s="7">
        <v>45412</v>
      </c>
      <c r="E88" s="7">
        <v>45411</v>
      </c>
      <c r="F88" s="46" t="s">
        <v>4</v>
      </c>
      <c r="G88" s="8">
        <v>1</v>
      </c>
      <c r="H88" t="s">
        <v>149</v>
      </c>
      <c r="I88" s="22" t="str">
        <f ca="1">IF(Milestones[[#This Row],[Percent complete]]=100%,"",IF(TODAY()&gt;Milestones[[#This Row],[Planned end date]],_xlfn.TEXTJOIN(" by ",TRUE,"Breached",TODAY()-D88)&amp;" days",""))</f>
        <v/>
      </c>
      <c r="J88" s="46" t="str">
        <f t="shared" ca="1" si="2"/>
        <v/>
      </c>
      <c r="K88" s="46" t="str">
        <f ca="1">IF(Milestones[[#This Row],[State]]="Closed Complete","",IF(YEAR(D88)&amp;"-"&amp;TEXT(WEEKNUM(D88,2),"00")&lt;YEAR(TODAY())&amp;"-"&amp;TEXT(WEEKNUM(TODAY(),2),"00"),"Breached","To be completed"))</f>
        <v/>
      </c>
      <c r="L88" s="6"/>
      <c r="M88" s="6"/>
    </row>
    <row r="89" spans="1:13" ht="14.4" x14ac:dyDescent="0.3">
      <c r="A89" s="20" t="s">
        <v>179</v>
      </c>
      <c r="B89" s="56" t="s">
        <v>175</v>
      </c>
      <c r="C89" s="20" t="s">
        <v>222</v>
      </c>
      <c r="D89" s="7">
        <v>45747</v>
      </c>
      <c r="E89" s="7"/>
      <c r="F89" s="46" t="s">
        <v>10</v>
      </c>
      <c r="G89" s="8">
        <v>0.99</v>
      </c>
      <c r="H89" t="s">
        <v>149</v>
      </c>
      <c r="I89" s="22" t="str">
        <f ca="1">IF(Milestones[[#This Row],[Percent complete]]=100%,"",IF(TODAY()&gt;Milestones[[#This Row],[Planned end date]],_xlfn.TEXTJOIN(" by ",TRUE,"Breached",TODAY()-D89)&amp;" days",""))</f>
        <v>Breached by 22 days</v>
      </c>
      <c r="J89" s="46" t="str">
        <f t="shared" ca="1" si="2"/>
        <v/>
      </c>
      <c r="K89" s="46" t="str">
        <f ca="1">IF(Milestones[[#This Row],[State]]="Closed Complete","",IF(YEAR(D89)&amp;"-"&amp;TEXT(WEEKNUM(D89,2),"00")&lt;YEAR(TODAY())&amp;"-"&amp;TEXT(WEEKNUM(TODAY(),2),"00"),"Breached","To be completed"))</f>
        <v>Breached</v>
      </c>
      <c r="L89" s="6"/>
      <c r="M89" s="6"/>
    </row>
    <row r="90" spans="1:13" ht="14.4" x14ac:dyDescent="0.3">
      <c r="A90" s="20" t="s">
        <v>179</v>
      </c>
      <c r="B90" s="56" t="s">
        <v>175</v>
      </c>
      <c r="C90" s="20" t="s">
        <v>222</v>
      </c>
      <c r="D90" s="7">
        <v>45747</v>
      </c>
      <c r="E90" s="7"/>
      <c r="F90" s="46" t="s">
        <v>10</v>
      </c>
      <c r="G90" s="8">
        <v>0.99</v>
      </c>
      <c r="H90" t="s">
        <v>149</v>
      </c>
      <c r="I90" s="22" t="str">
        <f ca="1">IF(Milestones[[#This Row],[Percent complete]]=100%,"",IF(TODAY()&gt;Milestones[[#This Row],[Planned end date]],_xlfn.TEXTJOIN(" by ",TRUE,"Breached",TODAY()-D90)&amp;" days",""))</f>
        <v>Breached by 22 days</v>
      </c>
      <c r="J90" s="46" t="str">
        <f t="shared" ca="1" si="2"/>
        <v/>
      </c>
      <c r="K90" s="46" t="str">
        <f ca="1">IF(Milestones[[#This Row],[State]]="Closed Complete","",IF(YEAR(D90)&amp;"-"&amp;TEXT(WEEKNUM(D90,2),"00")&lt;YEAR(TODAY())&amp;"-"&amp;TEXT(WEEKNUM(TODAY(),2),"00"),"Breached","To be completed"))</f>
        <v>Breached</v>
      </c>
      <c r="L90" s="6"/>
      <c r="M90" s="6"/>
    </row>
    <row r="91" spans="1:13" ht="14.4" x14ac:dyDescent="0.3">
      <c r="A91" s="20" t="s">
        <v>179</v>
      </c>
      <c r="B91" s="56" t="s">
        <v>175</v>
      </c>
      <c r="C91" s="20" t="s">
        <v>222</v>
      </c>
      <c r="D91" s="7">
        <v>45688</v>
      </c>
      <c r="E91" s="7">
        <v>45688</v>
      </c>
      <c r="F91" s="46" t="s">
        <v>4</v>
      </c>
      <c r="G91" s="8">
        <v>1</v>
      </c>
      <c r="H91" t="s">
        <v>142</v>
      </c>
      <c r="I91" s="22" t="str">
        <f ca="1">IF(Milestones[[#This Row],[Percent complete]]=100%,"",IF(TODAY()&gt;Milestones[[#This Row],[Planned end date]],_xlfn.TEXTJOIN(" by ",TRUE,"Breached",TODAY()-D91)&amp;" days",""))</f>
        <v/>
      </c>
      <c r="J91" s="46" t="str">
        <f t="shared" ca="1" si="2"/>
        <v/>
      </c>
      <c r="K91" s="46" t="str">
        <f ca="1">IF(Milestones[[#This Row],[State]]="Closed Complete","",IF(YEAR(D91)&amp;"-"&amp;TEXT(WEEKNUM(D91,2),"00")&lt;YEAR(TODAY())&amp;"-"&amp;TEXT(WEEKNUM(TODAY(),2),"00"),"Breached","To be completed"))</f>
        <v/>
      </c>
      <c r="L91" s="6"/>
      <c r="M91" s="6"/>
    </row>
    <row r="92" spans="1:13" ht="14.4" x14ac:dyDescent="0.3">
      <c r="A92" s="20" t="s">
        <v>179</v>
      </c>
      <c r="B92" s="56" t="s">
        <v>175</v>
      </c>
      <c r="C92" s="20" t="s">
        <v>222</v>
      </c>
      <c r="D92" s="7">
        <v>45758</v>
      </c>
      <c r="E92" s="7"/>
      <c r="F92" s="46" t="s">
        <v>9</v>
      </c>
      <c r="G92" s="8">
        <v>0</v>
      </c>
      <c r="H92" t="s">
        <v>142</v>
      </c>
      <c r="I92" s="22" t="str">
        <f ca="1">IF(Milestones[[#This Row],[Percent complete]]=100%,"",IF(TODAY()&gt;Milestones[[#This Row],[Planned end date]],_xlfn.TEXTJOIN(" by ",TRUE,"Breached",TODAY()-D92)&amp;" days",""))</f>
        <v>Breached by 11 days</v>
      </c>
      <c r="J92" s="46" t="str">
        <f t="shared" ca="1" si="2"/>
        <v/>
      </c>
      <c r="K92" s="46" t="str">
        <f ca="1">IF(Milestones[[#This Row],[State]]="Closed Complete","",IF(YEAR(D92)&amp;"-"&amp;TEXT(WEEKNUM(D92,2),"00")&lt;YEAR(TODAY())&amp;"-"&amp;TEXT(WEEKNUM(TODAY(),2),"00"),"Breached","To be completed"))</f>
        <v>Breached</v>
      </c>
      <c r="L92" s="6"/>
      <c r="M92" s="6"/>
    </row>
    <row r="93" spans="1:13" ht="14.4" x14ac:dyDescent="0.3">
      <c r="A93" s="20" t="s">
        <v>179</v>
      </c>
      <c r="B93" s="56" t="s">
        <v>175</v>
      </c>
      <c r="C93" s="20" t="s">
        <v>222</v>
      </c>
      <c r="D93" s="7">
        <v>45758</v>
      </c>
      <c r="E93" s="7"/>
      <c r="F93" s="46" t="s">
        <v>10</v>
      </c>
      <c r="G93" s="8">
        <v>0.4</v>
      </c>
      <c r="H93" t="s">
        <v>142</v>
      </c>
      <c r="I93" s="22" t="str">
        <f ca="1">IF(Milestones[[#This Row],[Percent complete]]=100%,"",IF(TODAY()&gt;Milestones[[#This Row],[Planned end date]],_xlfn.TEXTJOIN(" by ",TRUE,"Breached",TODAY()-D93)&amp;" days",""))</f>
        <v>Breached by 11 days</v>
      </c>
      <c r="J93" s="46" t="str">
        <f t="shared" ca="1" si="2"/>
        <v/>
      </c>
      <c r="K93" s="46" t="str">
        <f ca="1">IF(Milestones[[#This Row],[State]]="Closed Complete","",IF(YEAR(D93)&amp;"-"&amp;TEXT(WEEKNUM(D93,2),"00")&lt;YEAR(TODAY())&amp;"-"&amp;TEXT(WEEKNUM(TODAY(),2),"00"),"Breached","To be completed"))</f>
        <v>Breached</v>
      </c>
      <c r="L93" s="6"/>
      <c r="M93" s="6"/>
    </row>
    <row r="94" spans="1:13" ht="14.4" x14ac:dyDescent="0.3">
      <c r="A94" s="20" t="s">
        <v>179</v>
      </c>
      <c r="B94" s="56" t="s">
        <v>175</v>
      </c>
      <c r="C94" s="20" t="s">
        <v>222</v>
      </c>
      <c r="D94" s="7">
        <v>45793</v>
      </c>
      <c r="E94" s="7"/>
      <c r="F94" s="46" t="s">
        <v>9</v>
      </c>
      <c r="G94" s="8">
        <v>0</v>
      </c>
      <c r="H94" t="s">
        <v>142</v>
      </c>
      <c r="I94" s="22" t="str">
        <f ca="1">IF(Milestones[[#This Row],[Percent complete]]=100%,"",IF(TODAY()&gt;Milestones[[#This Row],[Planned end date]],_xlfn.TEXTJOIN(" by ",TRUE,"Breached",TODAY()-D94)&amp;" days",""))</f>
        <v/>
      </c>
      <c r="J94" s="46" t="str">
        <f t="shared" ca="1" si="2"/>
        <v/>
      </c>
      <c r="K94" s="46" t="str">
        <f ca="1">IF(Milestones[[#This Row],[State]]="Closed Complete","",IF(YEAR(D94)&amp;"-"&amp;TEXT(WEEKNUM(D94,2),"00")&lt;YEAR(TODAY())&amp;"-"&amp;TEXT(WEEKNUM(TODAY(),2),"00"),"Breached","To be completed"))</f>
        <v>To be completed</v>
      </c>
      <c r="L94" s="6"/>
      <c r="M94" s="6"/>
    </row>
    <row r="95" spans="1:13" ht="14.4" x14ac:dyDescent="0.3">
      <c r="A95" s="20" t="s">
        <v>179</v>
      </c>
      <c r="B95" s="56" t="s">
        <v>175</v>
      </c>
      <c r="C95" s="20" t="s">
        <v>222</v>
      </c>
      <c r="D95" s="7">
        <v>45793</v>
      </c>
      <c r="E95" s="7"/>
      <c r="F95" s="46" t="s">
        <v>8</v>
      </c>
      <c r="G95" s="8">
        <v>0</v>
      </c>
      <c r="H95" t="s">
        <v>142</v>
      </c>
      <c r="I95" s="22" t="str">
        <f ca="1">IF(Milestones[[#This Row],[Percent complete]]=100%,"",IF(TODAY()&gt;Milestones[[#This Row],[Planned end date]],_xlfn.TEXTJOIN(" by ",TRUE,"Breached",TODAY()-D95)&amp;" days",""))</f>
        <v/>
      </c>
      <c r="J95" s="46" t="str">
        <f t="shared" ca="1" si="2"/>
        <v/>
      </c>
      <c r="K95" s="46" t="str">
        <f ca="1">IF(Milestones[[#This Row],[State]]="Closed Complete","",IF(YEAR(D95)&amp;"-"&amp;TEXT(WEEKNUM(D95,2),"00")&lt;YEAR(TODAY())&amp;"-"&amp;TEXT(WEEKNUM(TODAY(),2),"00"),"Breached","To be completed"))</f>
        <v>To be completed</v>
      </c>
      <c r="L95" s="6"/>
      <c r="M95" s="6"/>
    </row>
    <row r="96" spans="1:13" ht="14.4" x14ac:dyDescent="0.3">
      <c r="A96" s="20" t="s">
        <v>196</v>
      </c>
      <c r="B96" s="56" t="s">
        <v>175</v>
      </c>
      <c r="C96" s="20" t="s">
        <v>222</v>
      </c>
      <c r="D96" s="7">
        <v>45534</v>
      </c>
      <c r="E96" s="7">
        <v>45534</v>
      </c>
      <c r="F96" s="46" t="s">
        <v>4</v>
      </c>
      <c r="G96" s="8">
        <v>1</v>
      </c>
      <c r="H96" t="s">
        <v>144</v>
      </c>
      <c r="I96" s="22" t="str">
        <f ca="1">IF(Milestones[[#This Row],[Percent complete]]=100%,"",IF(TODAY()&gt;Milestones[[#This Row],[Planned end date]],_xlfn.TEXTJOIN(" by ",TRUE,"Breached",TODAY()-D96)&amp;" days",""))</f>
        <v/>
      </c>
      <c r="J96" s="46" t="str">
        <f t="shared" ca="1" si="2"/>
        <v/>
      </c>
      <c r="K96" s="46" t="str">
        <f ca="1">IF(Milestones[[#This Row],[State]]="Closed Complete","",IF(YEAR(D96)&amp;"-"&amp;TEXT(WEEKNUM(D96,2),"00")&lt;YEAR(TODAY())&amp;"-"&amp;TEXT(WEEKNUM(TODAY(),2),"00"),"Breached","To be completed"))</f>
        <v/>
      </c>
      <c r="L96" s="6"/>
      <c r="M96" s="6"/>
    </row>
    <row r="97" spans="1:13" ht="14.4" x14ac:dyDescent="0.3">
      <c r="A97" s="20" t="s">
        <v>196</v>
      </c>
      <c r="B97" s="56" t="s">
        <v>175</v>
      </c>
      <c r="C97" s="20" t="s">
        <v>222</v>
      </c>
      <c r="D97" s="7">
        <v>45688</v>
      </c>
      <c r="E97" s="7">
        <v>45688</v>
      </c>
      <c r="F97" s="46" t="s">
        <v>4</v>
      </c>
      <c r="G97" s="8">
        <v>1</v>
      </c>
      <c r="H97" t="s">
        <v>144</v>
      </c>
      <c r="I97" s="22" t="str">
        <f ca="1">IF(Milestones[[#This Row],[Percent complete]]=100%,"",IF(TODAY()&gt;Milestones[[#This Row],[Planned end date]],_xlfn.TEXTJOIN(" by ",TRUE,"Breached",TODAY()-D97)&amp;" days",""))</f>
        <v/>
      </c>
      <c r="J97" s="46" t="str">
        <f t="shared" ca="1" si="2"/>
        <v/>
      </c>
      <c r="K97" s="46" t="str">
        <f ca="1">IF(Milestones[[#This Row],[State]]="Closed Complete","",IF(YEAR(D97)&amp;"-"&amp;TEXT(WEEKNUM(D97,2),"00")&lt;YEAR(TODAY())&amp;"-"&amp;TEXT(WEEKNUM(TODAY(),2),"00"),"Breached","To be completed"))</f>
        <v/>
      </c>
      <c r="L97" s="6"/>
      <c r="M97" s="6"/>
    </row>
    <row r="98" spans="1:13" ht="14.4" x14ac:dyDescent="0.3">
      <c r="A98" s="20" t="s">
        <v>196</v>
      </c>
      <c r="B98" s="56" t="s">
        <v>175</v>
      </c>
      <c r="C98" s="20" t="s">
        <v>222</v>
      </c>
      <c r="D98" s="7">
        <v>45747</v>
      </c>
      <c r="E98" s="7"/>
      <c r="F98" s="46" t="s">
        <v>10</v>
      </c>
      <c r="G98" s="8">
        <v>0.5</v>
      </c>
      <c r="H98" t="s">
        <v>144</v>
      </c>
      <c r="I98" s="22" t="str">
        <f ca="1">IF(Milestones[[#This Row],[Percent complete]]=100%,"",IF(TODAY()&gt;Milestones[[#This Row],[Planned end date]],_xlfn.TEXTJOIN(" by ",TRUE,"Breached",TODAY()-D98)&amp;" days",""))</f>
        <v>Breached by 22 days</v>
      </c>
      <c r="J98" s="46" t="str">
        <f t="shared" ref="J98:J129" ca="1" si="3">IF(AND(E98&lt;&gt;"",E98&gt;=TODAY()-21, E98&lt;=TODAY()),TRUE,"")</f>
        <v/>
      </c>
      <c r="K98" s="46" t="str">
        <f ca="1">IF(Milestones[[#This Row],[State]]="Closed Complete","",IF(YEAR(D98)&amp;"-"&amp;TEXT(WEEKNUM(D98,2),"00")&lt;YEAR(TODAY())&amp;"-"&amp;TEXT(WEEKNUM(TODAY(),2),"00"),"Breached","To be completed"))</f>
        <v>Breached</v>
      </c>
      <c r="L98" s="6"/>
      <c r="M98" s="6"/>
    </row>
    <row r="99" spans="1:13" ht="14.4" x14ac:dyDescent="0.3">
      <c r="A99" s="20" t="s">
        <v>196</v>
      </c>
      <c r="B99" s="56" t="s">
        <v>175</v>
      </c>
      <c r="C99" s="20" t="s">
        <v>222</v>
      </c>
      <c r="D99" s="7">
        <v>45777</v>
      </c>
      <c r="E99" s="7"/>
      <c r="F99" s="46" t="s">
        <v>9</v>
      </c>
      <c r="G99" s="8">
        <v>0</v>
      </c>
      <c r="H99" t="s">
        <v>144</v>
      </c>
      <c r="I99" s="22" t="str">
        <f ca="1">IF(Milestones[[#This Row],[Percent complete]]=100%,"",IF(TODAY()&gt;Milestones[[#This Row],[Planned end date]],_xlfn.TEXTJOIN(" by ",TRUE,"Breached",TODAY()-D99)&amp;" days",""))</f>
        <v/>
      </c>
      <c r="J99" s="46" t="str">
        <f t="shared" ca="1" si="3"/>
        <v/>
      </c>
      <c r="K99" s="46" t="str">
        <f ca="1">IF(Milestones[[#This Row],[State]]="Closed Complete","",IF(YEAR(D99)&amp;"-"&amp;TEXT(WEEKNUM(D99,2),"00")&lt;YEAR(TODAY())&amp;"-"&amp;TEXT(WEEKNUM(TODAY(),2),"00"),"Breached","To be completed"))</f>
        <v>To be completed</v>
      </c>
      <c r="L99" s="6"/>
      <c r="M99" s="6"/>
    </row>
    <row r="100" spans="1:13" ht="14.4" x14ac:dyDescent="0.3">
      <c r="A100" s="20" t="s">
        <v>196</v>
      </c>
      <c r="B100" s="56" t="s">
        <v>175</v>
      </c>
      <c r="C100" s="20" t="s">
        <v>222</v>
      </c>
      <c r="D100" s="7">
        <v>45646</v>
      </c>
      <c r="E100" s="7">
        <v>45646</v>
      </c>
      <c r="F100" s="46" t="s">
        <v>4</v>
      </c>
      <c r="G100" s="8">
        <v>1</v>
      </c>
      <c r="H100" t="s">
        <v>150</v>
      </c>
      <c r="I100" s="22" t="str">
        <f ca="1">IF(Milestones[[#This Row],[Percent complete]]=100%,"",IF(TODAY()&gt;Milestones[[#This Row],[Planned end date]],_xlfn.TEXTJOIN(" by ",TRUE,"Breached",TODAY()-D100)&amp;" days",""))</f>
        <v/>
      </c>
      <c r="J100" s="46" t="str">
        <f t="shared" ca="1" si="3"/>
        <v/>
      </c>
      <c r="K100" s="46" t="str">
        <f ca="1">IF(Milestones[[#This Row],[State]]="Closed Complete","",IF(YEAR(D100)&amp;"-"&amp;TEXT(WEEKNUM(D100,2),"00")&lt;YEAR(TODAY())&amp;"-"&amp;TEXT(WEEKNUM(TODAY(),2),"00"),"Breached","To be completed"))</f>
        <v/>
      </c>
      <c r="L100" s="6"/>
      <c r="M100" s="6"/>
    </row>
    <row r="101" spans="1:13" ht="14.4" x14ac:dyDescent="0.3">
      <c r="A101" s="20" t="s">
        <v>196</v>
      </c>
      <c r="B101" s="56" t="s">
        <v>175</v>
      </c>
      <c r="C101" s="20" t="s">
        <v>222</v>
      </c>
      <c r="D101" s="7">
        <v>45688</v>
      </c>
      <c r="E101" s="7">
        <v>45688</v>
      </c>
      <c r="F101" s="46" t="s">
        <v>4</v>
      </c>
      <c r="G101" s="8">
        <v>1</v>
      </c>
      <c r="H101" t="s">
        <v>150</v>
      </c>
      <c r="I101" s="22" t="str">
        <f ca="1">IF(Milestones[[#This Row],[Percent complete]]=100%,"",IF(TODAY()&gt;Milestones[[#This Row],[Planned end date]],_xlfn.TEXTJOIN(" by ",TRUE,"Breached",TODAY()-D101)&amp;" days",""))</f>
        <v/>
      </c>
      <c r="J101" s="46" t="str">
        <f t="shared" ca="1" si="3"/>
        <v/>
      </c>
      <c r="K101" s="46" t="str">
        <f ca="1">IF(Milestones[[#This Row],[State]]="Closed Complete","",IF(YEAR(D101)&amp;"-"&amp;TEXT(WEEKNUM(D101,2),"00")&lt;YEAR(TODAY())&amp;"-"&amp;TEXT(WEEKNUM(TODAY(),2),"00"),"Breached","To be completed"))</f>
        <v/>
      </c>
      <c r="L101" s="6"/>
      <c r="M101" s="6"/>
    </row>
    <row r="102" spans="1:13" ht="14.4" x14ac:dyDescent="0.3">
      <c r="A102" s="20" t="s">
        <v>196</v>
      </c>
      <c r="B102" s="56" t="s">
        <v>175</v>
      </c>
      <c r="C102" s="20" t="s">
        <v>222</v>
      </c>
      <c r="D102" s="7">
        <v>45747</v>
      </c>
      <c r="E102" s="7"/>
      <c r="F102" s="46" t="s">
        <v>10</v>
      </c>
      <c r="G102" s="8">
        <v>0.99</v>
      </c>
      <c r="H102" t="s">
        <v>150</v>
      </c>
      <c r="I102" s="22" t="str">
        <f ca="1">IF(Milestones[[#This Row],[Percent complete]]=100%,"",IF(TODAY()&gt;Milestones[[#This Row],[Planned end date]],_xlfn.TEXTJOIN(" by ",TRUE,"Breached",TODAY()-D102)&amp;" days",""))</f>
        <v>Breached by 22 days</v>
      </c>
      <c r="J102" s="46" t="str">
        <f t="shared" ca="1" si="3"/>
        <v/>
      </c>
      <c r="K102" s="46" t="str">
        <f ca="1">IF(Milestones[[#This Row],[State]]="Closed Complete","",IF(YEAR(D102)&amp;"-"&amp;TEXT(WEEKNUM(D102,2),"00")&lt;YEAR(TODAY())&amp;"-"&amp;TEXT(WEEKNUM(TODAY(),2),"00"),"Breached","To be completed"))</f>
        <v>Breached</v>
      </c>
      <c r="L102" s="6"/>
      <c r="M102" s="6"/>
    </row>
    <row r="103" spans="1:13" ht="14.4" x14ac:dyDescent="0.3">
      <c r="A103" s="20" t="s">
        <v>180</v>
      </c>
      <c r="B103" s="56" t="s">
        <v>175</v>
      </c>
      <c r="C103" s="20" t="s">
        <v>171</v>
      </c>
      <c r="D103" s="7">
        <v>45398</v>
      </c>
      <c r="E103" s="7">
        <v>45398</v>
      </c>
      <c r="F103" s="46" t="s">
        <v>4</v>
      </c>
      <c r="G103" s="8">
        <v>1</v>
      </c>
      <c r="H103" t="s">
        <v>75</v>
      </c>
      <c r="I103" s="22" t="str">
        <f ca="1">IF(Milestones[[#This Row],[Percent complete]]=100%,"",IF(TODAY()&gt;Milestones[[#This Row],[Planned end date]],_xlfn.TEXTJOIN(" by ",TRUE,"Breached",TODAY()-D103)&amp;" days",""))</f>
        <v/>
      </c>
      <c r="J103" s="46" t="str">
        <f t="shared" ca="1" si="3"/>
        <v/>
      </c>
      <c r="K103" s="46" t="str">
        <f ca="1">IF(Milestones[[#This Row],[State]]="Closed Complete","",IF(YEAR(D103)&amp;"-"&amp;TEXT(WEEKNUM(D103,2),"00")&lt;YEAR(TODAY())&amp;"-"&amp;TEXT(WEEKNUM(TODAY(),2),"00"),"Breached","To be completed"))</f>
        <v/>
      </c>
      <c r="L103" s="6"/>
      <c r="M103" s="6"/>
    </row>
    <row r="104" spans="1:13" ht="14.4" x14ac:dyDescent="0.3">
      <c r="A104" s="20" t="s">
        <v>180</v>
      </c>
      <c r="B104" s="56" t="s">
        <v>175</v>
      </c>
      <c r="C104" s="20" t="s">
        <v>171</v>
      </c>
      <c r="D104" s="7">
        <v>45626</v>
      </c>
      <c r="E104" s="7">
        <v>45626</v>
      </c>
      <c r="F104" s="46" t="s">
        <v>4</v>
      </c>
      <c r="G104" s="8">
        <v>1</v>
      </c>
      <c r="H104" t="s">
        <v>75</v>
      </c>
      <c r="I104" s="22" t="str">
        <f ca="1">IF(Milestones[[#This Row],[Percent complete]]=100%,"",IF(TODAY()&gt;Milestones[[#This Row],[Planned end date]],_xlfn.TEXTJOIN(" by ",TRUE,"Breached",TODAY()-D104)&amp;" days",""))</f>
        <v/>
      </c>
      <c r="J104" s="46" t="str">
        <f t="shared" ca="1" si="3"/>
        <v/>
      </c>
      <c r="K104" s="46" t="str">
        <f ca="1">IF(Milestones[[#This Row],[State]]="Closed Complete","",IF(YEAR(D104)&amp;"-"&amp;TEXT(WEEKNUM(D104,2),"00")&lt;YEAR(TODAY())&amp;"-"&amp;TEXT(WEEKNUM(TODAY(),2),"00"),"Breached","To be completed"))</f>
        <v/>
      </c>
      <c r="L104" s="6"/>
      <c r="M104" s="6"/>
    </row>
    <row r="105" spans="1:13" ht="14.4" x14ac:dyDescent="0.3">
      <c r="A105" s="20" t="s">
        <v>180</v>
      </c>
      <c r="B105" s="56" t="s">
        <v>175</v>
      </c>
      <c r="C105" s="20" t="s">
        <v>171</v>
      </c>
      <c r="D105" s="7">
        <v>45716</v>
      </c>
      <c r="E105" s="7"/>
      <c r="F105" s="46" t="s">
        <v>9</v>
      </c>
      <c r="G105" s="8">
        <v>0</v>
      </c>
      <c r="H105" t="s">
        <v>75</v>
      </c>
      <c r="I105" s="22" t="str">
        <f ca="1">IF(Milestones[[#This Row],[Percent complete]]=100%,"",IF(TODAY()&gt;Milestones[[#This Row],[Planned end date]],_xlfn.TEXTJOIN(" by ",TRUE,"Breached",TODAY()-D105)&amp;" days",""))</f>
        <v>Breached by 53 days</v>
      </c>
      <c r="J105" s="46" t="str">
        <f t="shared" ca="1" si="3"/>
        <v/>
      </c>
      <c r="K105" s="46" t="str">
        <f ca="1">IF(Milestones[[#This Row],[State]]="Closed Complete","",IF(YEAR(D105)&amp;"-"&amp;TEXT(WEEKNUM(D105,2),"00")&lt;YEAR(TODAY())&amp;"-"&amp;TEXT(WEEKNUM(TODAY(),2),"00"),"Breached","To be completed"))</f>
        <v>Breached</v>
      </c>
      <c r="L105" s="6"/>
      <c r="M105" s="6"/>
    </row>
    <row r="106" spans="1:13" ht="14.4" x14ac:dyDescent="0.3">
      <c r="A106" s="20" t="s">
        <v>180</v>
      </c>
      <c r="B106" s="56" t="s">
        <v>175</v>
      </c>
      <c r="C106" s="20" t="s">
        <v>171</v>
      </c>
      <c r="D106" s="7">
        <v>45747</v>
      </c>
      <c r="E106" s="7"/>
      <c r="F106" s="46" t="s">
        <v>9</v>
      </c>
      <c r="G106" s="8">
        <v>0</v>
      </c>
      <c r="H106" t="s">
        <v>75</v>
      </c>
      <c r="I106" s="22" t="str">
        <f ca="1">IF(Milestones[[#This Row],[Percent complete]]=100%,"",IF(TODAY()&gt;Milestones[[#This Row],[Planned end date]],_xlfn.TEXTJOIN(" by ",TRUE,"Breached",TODAY()-D106)&amp;" days",""))</f>
        <v>Breached by 22 days</v>
      </c>
      <c r="J106" s="46" t="str">
        <f t="shared" ca="1" si="3"/>
        <v/>
      </c>
      <c r="K106" s="46" t="str">
        <f ca="1">IF(Milestones[[#This Row],[State]]="Closed Complete","",IF(YEAR(D106)&amp;"-"&amp;TEXT(WEEKNUM(D106,2),"00")&lt;YEAR(TODAY())&amp;"-"&amp;TEXT(WEEKNUM(TODAY(),2),"00"),"Breached","To be completed"))</f>
        <v>Breached</v>
      </c>
      <c r="L106" s="6"/>
      <c r="M106" s="6"/>
    </row>
    <row r="107" spans="1:13" ht="14.4" x14ac:dyDescent="0.3">
      <c r="A107" s="20" t="s">
        <v>180</v>
      </c>
      <c r="B107" s="56" t="s">
        <v>175</v>
      </c>
      <c r="C107" s="20" t="s">
        <v>171</v>
      </c>
      <c r="D107" s="7">
        <v>45747</v>
      </c>
      <c r="E107" s="7"/>
      <c r="F107" s="46" t="s">
        <v>9</v>
      </c>
      <c r="G107" s="8">
        <v>0</v>
      </c>
      <c r="H107" t="s">
        <v>75</v>
      </c>
      <c r="I107" s="22" t="str">
        <f ca="1">IF(Milestones[[#This Row],[Percent complete]]=100%,"",IF(TODAY()&gt;Milestones[[#This Row],[Planned end date]],_xlfn.TEXTJOIN(" by ",TRUE,"Breached",TODAY()-D107)&amp;" days",""))</f>
        <v>Breached by 22 days</v>
      </c>
      <c r="J107" s="46" t="str">
        <f t="shared" ca="1" si="3"/>
        <v/>
      </c>
      <c r="K107" s="46" t="str">
        <f ca="1">IF(Milestones[[#This Row],[State]]="Closed Complete","",IF(YEAR(D107)&amp;"-"&amp;TEXT(WEEKNUM(D107,2),"00")&lt;YEAR(TODAY())&amp;"-"&amp;TEXT(WEEKNUM(TODAY(),2),"00"),"Breached","To be completed"))</f>
        <v>Breached</v>
      </c>
      <c r="L107" s="20"/>
      <c r="M107" s="6"/>
    </row>
    <row r="108" spans="1:13" ht="14.4" x14ac:dyDescent="0.3">
      <c r="A108" s="20" t="s">
        <v>180</v>
      </c>
      <c r="B108" s="56" t="s">
        <v>175</v>
      </c>
      <c r="C108" s="20" t="s">
        <v>171</v>
      </c>
      <c r="D108" s="7">
        <v>45418</v>
      </c>
      <c r="E108" s="7"/>
      <c r="F108" s="46" t="s">
        <v>85</v>
      </c>
      <c r="G108" s="8">
        <v>0</v>
      </c>
      <c r="H108" t="s">
        <v>81</v>
      </c>
      <c r="I108" s="22" t="str">
        <f ca="1">IF(Milestones[[#This Row],[Percent complete]]=100%,"",IF(TODAY()&gt;Milestones[[#This Row],[Planned end date]],_xlfn.TEXTJOIN(" by ",TRUE,"Breached",TODAY()-D108)&amp;" days",""))</f>
        <v>Breached by 351 days</v>
      </c>
      <c r="J108" s="46" t="str">
        <f t="shared" ca="1" si="3"/>
        <v/>
      </c>
      <c r="K108" s="46" t="str">
        <f ca="1">IF(Milestones[[#This Row],[State]]="Closed Complete","",IF(YEAR(D108)&amp;"-"&amp;TEXT(WEEKNUM(D108,2),"00")&lt;YEAR(TODAY())&amp;"-"&amp;TEXT(WEEKNUM(TODAY(),2),"00"),"Breached","To be completed"))</f>
        <v>Breached</v>
      </c>
      <c r="L108" s="20"/>
      <c r="M108" s="6"/>
    </row>
    <row r="109" spans="1:13" ht="14.4" x14ac:dyDescent="0.3">
      <c r="A109" s="20" t="s">
        <v>176</v>
      </c>
      <c r="B109" s="56" t="s">
        <v>175</v>
      </c>
      <c r="C109" s="46" t="s">
        <v>221</v>
      </c>
      <c r="D109" s="7">
        <v>45418</v>
      </c>
      <c r="E109" s="7"/>
      <c r="F109" s="46" t="s">
        <v>9</v>
      </c>
      <c r="G109" s="8">
        <v>0</v>
      </c>
      <c r="H109" t="s">
        <v>81</v>
      </c>
      <c r="I109" s="22" t="str">
        <f ca="1">IF(Milestones[[#This Row],[Percent complete]]=100%,"",IF(TODAY()&gt;Milestones[[#This Row],[Planned end date]],_xlfn.TEXTJOIN(" by ",TRUE,"Breached",TODAY()-D109)&amp;" days",""))</f>
        <v>Breached by 351 days</v>
      </c>
      <c r="J109" s="46" t="str">
        <f t="shared" ca="1" si="3"/>
        <v/>
      </c>
      <c r="K109" s="46" t="str">
        <f ca="1">IF(Milestones[[#This Row],[State]]="Closed Complete","",IF(YEAR(D109)&amp;"-"&amp;TEXT(WEEKNUM(D109,2),"00")&lt;YEAR(TODAY())&amp;"-"&amp;TEXT(WEEKNUM(TODAY(),2),"00"),"Breached","To be completed"))</f>
        <v>Breached</v>
      </c>
      <c r="L109" s="20"/>
      <c r="M109" s="6"/>
    </row>
    <row r="110" spans="1:13" ht="14.4" x14ac:dyDescent="0.3">
      <c r="A110" s="20" t="s">
        <v>180</v>
      </c>
      <c r="B110" s="56" t="s">
        <v>175</v>
      </c>
      <c r="C110" s="20" t="s">
        <v>171</v>
      </c>
      <c r="D110" s="7">
        <v>45705</v>
      </c>
      <c r="E110" s="7">
        <v>45705</v>
      </c>
      <c r="F110" s="46" t="s">
        <v>4</v>
      </c>
      <c r="G110" s="8">
        <v>1</v>
      </c>
      <c r="H110" t="s">
        <v>75</v>
      </c>
      <c r="I110" s="22" t="str">
        <f ca="1">IF(Milestones[[#This Row],[Percent complete]]=100%,"",IF(TODAY()&gt;Milestones[[#This Row],[Planned end date]],_xlfn.TEXTJOIN(" by ",TRUE,"Breached",TODAY()-D110)&amp;" days",""))</f>
        <v/>
      </c>
      <c r="J110" s="46" t="str">
        <f t="shared" ca="1" si="3"/>
        <v/>
      </c>
      <c r="K110" s="46" t="str">
        <f ca="1">IF(Milestones[[#This Row],[State]]="Closed Complete","",IF(YEAR(D110)&amp;"-"&amp;TEXT(WEEKNUM(D110,2),"00")&lt;YEAR(TODAY())&amp;"-"&amp;TEXT(WEEKNUM(TODAY(),2),"00"),"Breached","To be completed"))</f>
        <v/>
      </c>
      <c r="L110" s="20"/>
      <c r="M110" s="6"/>
    </row>
    <row r="111" spans="1:13" ht="14.4" x14ac:dyDescent="0.3">
      <c r="A111" s="20" t="s">
        <v>181</v>
      </c>
      <c r="B111" s="56" t="s">
        <v>175</v>
      </c>
      <c r="C111" s="20" t="s">
        <v>171</v>
      </c>
      <c r="D111" s="7">
        <v>45505</v>
      </c>
      <c r="E111" s="7">
        <v>45505</v>
      </c>
      <c r="F111" s="46" t="s">
        <v>4</v>
      </c>
      <c r="G111" s="8">
        <v>1</v>
      </c>
      <c r="H111" t="s">
        <v>123</v>
      </c>
      <c r="I111" s="22" t="str">
        <f ca="1">IF(Milestones[[#This Row],[Percent complete]]=100%,"",IF(TODAY()&gt;Milestones[[#This Row],[Planned end date]],_xlfn.TEXTJOIN(" by ",TRUE,"Breached",TODAY()-D111)&amp;" days",""))</f>
        <v/>
      </c>
      <c r="J111" s="46" t="str">
        <f t="shared" ca="1" si="3"/>
        <v/>
      </c>
      <c r="K111" s="46" t="str">
        <f ca="1">IF(Milestones[[#This Row],[State]]="Closed Complete","",IF(YEAR(D111)&amp;"-"&amp;TEXT(WEEKNUM(D111,2),"00")&lt;YEAR(TODAY())&amp;"-"&amp;TEXT(WEEKNUM(TODAY(),2),"00"),"Breached","To be completed"))</f>
        <v/>
      </c>
      <c r="L111" s="20"/>
      <c r="M111" s="6"/>
    </row>
    <row r="112" spans="1:13" ht="14.4" x14ac:dyDescent="0.3">
      <c r="A112" s="20" t="s">
        <v>181</v>
      </c>
      <c r="B112" s="56" t="s">
        <v>175</v>
      </c>
      <c r="C112" s="20" t="s">
        <v>171</v>
      </c>
      <c r="D112" s="7">
        <v>45748</v>
      </c>
      <c r="E112" s="7"/>
      <c r="F112" s="46" t="s">
        <v>10</v>
      </c>
      <c r="G112" s="8">
        <v>0</v>
      </c>
      <c r="H112" t="s">
        <v>123</v>
      </c>
      <c r="I112" s="22" t="str">
        <f ca="1">IF(Milestones[[#This Row],[Percent complete]]=100%,"",IF(TODAY()&gt;Milestones[[#This Row],[Planned end date]],_xlfn.TEXTJOIN(" by ",TRUE,"Breached",TODAY()-D112)&amp;" days",""))</f>
        <v>Breached by 21 days</v>
      </c>
      <c r="J112" s="46" t="str">
        <f t="shared" ca="1" si="3"/>
        <v/>
      </c>
      <c r="K112" s="46" t="str">
        <f ca="1">IF(Milestones[[#This Row],[State]]="Closed Complete","",IF(YEAR(D112)&amp;"-"&amp;TEXT(WEEKNUM(D112,2),"00")&lt;YEAR(TODAY())&amp;"-"&amp;TEXT(WEEKNUM(TODAY(),2),"00"),"Breached","To be completed"))</f>
        <v>Breached</v>
      </c>
      <c r="L112" s="20"/>
      <c r="M112" s="6"/>
    </row>
    <row r="113" spans="1:13" ht="14.4" x14ac:dyDescent="0.3">
      <c r="A113" s="20" t="s">
        <v>181</v>
      </c>
      <c r="B113" s="56" t="s">
        <v>175</v>
      </c>
      <c r="C113" s="20" t="s">
        <v>171</v>
      </c>
      <c r="D113" s="7">
        <v>45777</v>
      </c>
      <c r="E113" s="7"/>
      <c r="F113" s="46" t="s">
        <v>10</v>
      </c>
      <c r="G113" s="8">
        <v>0</v>
      </c>
      <c r="H113" t="s">
        <v>123</v>
      </c>
      <c r="I113" s="22" t="str">
        <f ca="1">IF(Milestones[[#This Row],[Percent complete]]=100%,"",IF(TODAY()&gt;Milestones[[#This Row],[Planned end date]],_xlfn.TEXTJOIN(" by ",TRUE,"Breached",TODAY()-D113)&amp;" days",""))</f>
        <v/>
      </c>
      <c r="J113" s="46" t="str">
        <f t="shared" ca="1" si="3"/>
        <v/>
      </c>
      <c r="K113" s="46" t="str">
        <f ca="1">IF(Milestones[[#This Row],[State]]="Closed Complete","",IF(YEAR(D113)&amp;"-"&amp;TEXT(WEEKNUM(D113,2),"00")&lt;YEAR(TODAY())&amp;"-"&amp;TEXT(WEEKNUM(TODAY(),2),"00"),"Breached","To be completed"))</f>
        <v>To be completed</v>
      </c>
      <c r="L113" s="20"/>
      <c r="M113" s="6"/>
    </row>
    <row r="114" spans="1:13" ht="14.4" x14ac:dyDescent="0.3">
      <c r="A114" s="20" t="s">
        <v>181</v>
      </c>
      <c r="B114" s="56" t="s">
        <v>175</v>
      </c>
      <c r="C114" s="20" t="s">
        <v>171</v>
      </c>
      <c r="D114" s="7">
        <v>45808</v>
      </c>
      <c r="E114" s="7"/>
      <c r="F114" s="46" t="s">
        <v>9</v>
      </c>
      <c r="G114" s="8">
        <v>0</v>
      </c>
      <c r="H114" t="s">
        <v>123</v>
      </c>
      <c r="I114" s="22" t="str">
        <f ca="1">IF(Milestones[[#This Row],[Percent complete]]=100%,"",IF(TODAY()&gt;Milestones[[#This Row],[Planned end date]],_xlfn.TEXTJOIN(" by ",TRUE,"Breached",TODAY()-D114)&amp;" days",""))</f>
        <v/>
      </c>
      <c r="J114" s="46" t="str">
        <f t="shared" ca="1" si="3"/>
        <v/>
      </c>
      <c r="K114" s="46" t="str">
        <f ca="1">IF(Milestones[[#This Row],[State]]="Closed Complete","",IF(YEAR(D114)&amp;"-"&amp;TEXT(WEEKNUM(D114,2),"00")&lt;YEAR(TODAY())&amp;"-"&amp;TEXT(WEEKNUM(TODAY(),2),"00"),"Breached","To be completed"))</f>
        <v>To be completed</v>
      </c>
      <c r="L114" s="20"/>
      <c r="M114" s="6"/>
    </row>
    <row r="115" spans="1:13" ht="14.4" x14ac:dyDescent="0.3">
      <c r="A115" s="20" t="s">
        <v>181</v>
      </c>
      <c r="B115" s="56" t="s">
        <v>175</v>
      </c>
      <c r="C115" s="20" t="s">
        <v>171</v>
      </c>
      <c r="D115" s="7">
        <v>45838</v>
      </c>
      <c r="E115" s="7"/>
      <c r="F115" s="46" t="s">
        <v>9</v>
      </c>
      <c r="G115" s="8">
        <v>0</v>
      </c>
      <c r="H115" t="s">
        <v>123</v>
      </c>
      <c r="I115" s="22" t="str">
        <f ca="1">IF(Milestones[[#This Row],[Percent complete]]=100%,"",IF(TODAY()&gt;Milestones[[#This Row],[Planned end date]],_xlfn.TEXTJOIN(" by ",TRUE,"Breached",TODAY()-D115)&amp;" days",""))</f>
        <v/>
      </c>
      <c r="J115" s="46" t="str">
        <f t="shared" ca="1" si="3"/>
        <v/>
      </c>
      <c r="K115" s="46" t="str">
        <f ca="1">IF(Milestones[[#This Row],[State]]="Closed Complete","",IF(YEAR(D115)&amp;"-"&amp;TEXT(WEEKNUM(D115,2),"00")&lt;YEAR(TODAY())&amp;"-"&amp;TEXT(WEEKNUM(TODAY(),2),"00"),"Breached","To be completed"))</f>
        <v>To be completed</v>
      </c>
      <c r="L115" s="20"/>
      <c r="M115" s="6"/>
    </row>
    <row r="116" spans="1:13" ht="14.4" x14ac:dyDescent="0.3">
      <c r="A116" s="20" t="s">
        <v>176</v>
      </c>
      <c r="B116" s="56" t="s">
        <v>175</v>
      </c>
      <c r="C116" s="46" t="s">
        <v>221</v>
      </c>
      <c r="D116" s="7">
        <v>45639</v>
      </c>
      <c r="E116" s="7">
        <v>45639</v>
      </c>
      <c r="F116" s="46" t="s">
        <v>4</v>
      </c>
      <c r="G116" s="8">
        <v>1</v>
      </c>
      <c r="H116" t="s">
        <v>82</v>
      </c>
      <c r="I116" s="22" t="str">
        <f ca="1">IF(Milestones[[#This Row],[Percent complete]]=100%,"",IF(TODAY()&gt;Milestones[[#This Row],[Planned end date]],_xlfn.TEXTJOIN(" by ",TRUE,"Breached",TODAY()-D116)&amp;" days",""))</f>
        <v/>
      </c>
      <c r="J116" s="46" t="str">
        <f t="shared" ca="1" si="3"/>
        <v/>
      </c>
      <c r="K116" s="46" t="str">
        <f ca="1">IF(Milestones[[#This Row],[State]]="Closed Complete","",IF(YEAR(D116)&amp;"-"&amp;TEXT(WEEKNUM(D116,2),"00")&lt;YEAR(TODAY())&amp;"-"&amp;TEXT(WEEKNUM(TODAY(),2),"00"),"Breached","To be completed"))</f>
        <v/>
      </c>
      <c r="L116" s="20"/>
      <c r="M116" s="6"/>
    </row>
    <row r="117" spans="1:13" ht="14.4" x14ac:dyDescent="0.3">
      <c r="A117" s="20" t="s">
        <v>176</v>
      </c>
      <c r="B117" s="56" t="s">
        <v>175</v>
      </c>
      <c r="C117" s="46" t="s">
        <v>221</v>
      </c>
      <c r="D117" s="7">
        <v>45758</v>
      </c>
      <c r="E117" s="7"/>
      <c r="F117" s="46" t="s">
        <v>8</v>
      </c>
      <c r="G117" s="8">
        <v>0</v>
      </c>
      <c r="H117" t="s">
        <v>82</v>
      </c>
      <c r="I117" s="22" t="str">
        <f ca="1">IF(Milestones[[#This Row],[Percent complete]]=100%,"",IF(TODAY()&gt;Milestones[[#This Row],[Planned end date]],_xlfn.TEXTJOIN(" by ",TRUE,"Breached",TODAY()-D117)&amp;" days",""))</f>
        <v>Breached by 11 days</v>
      </c>
      <c r="J117" s="46" t="str">
        <f t="shared" ca="1" si="3"/>
        <v/>
      </c>
      <c r="K117" s="46" t="str">
        <f ca="1">IF(Milestones[[#This Row],[State]]="Closed Complete","",IF(YEAR(D117)&amp;"-"&amp;TEXT(WEEKNUM(D117,2),"00")&lt;YEAR(TODAY())&amp;"-"&amp;TEXT(WEEKNUM(TODAY(),2),"00"),"Breached","To be completed"))</f>
        <v>Breached</v>
      </c>
      <c r="L117" s="20"/>
      <c r="M117" s="6"/>
    </row>
    <row r="118" spans="1:13" ht="14.4" x14ac:dyDescent="0.3">
      <c r="A118" s="20" t="s">
        <v>176</v>
      </c>
      <c r="B118" s="56" t="s">
        <v>175</v>
      </c>
      <c r="C118" s="46" t="s">
        <v>221</v>
      </c>
      <c r="D118" s="7">
        <v>45772</v>
      </c>
      <c r="E118" s="7"/>
      <c r="F118" s="46" t="s">
        <v>8</v>
      </c>
      <c r="G118" s="8">
        <v>0</v>
      </c>
      <c r="H118" t="s">
        <v>82</v>
      </c>
      <c r="I118" s="22" t="str">
        <f ca="1">IF(Milestones[[#This Row],[Percent complete]]=100%,"",IF(TODAY()&gt;Milestones[[#This Row],[Planned end date]],_xlfn.TEXTJOIN(" by ",TRUE,"Breached",TODAY()-D118)&amp;" days",""))</f>
        <v/>
      </c>
      <c r="J118" s="46" t="str">
        <f t="shared" ca="1" si="3"/>
        <v/>
      </c>
      <c r="K118" s="46" t="str">
        <f ca="1">IF(Milestones[[#This Row],[State]]="Closed Complete","",IF(YEAR(D118)&amp;"-"&amp;TEXT(WEEKNUM(D118,2),"00")&lt;YEAR(TODAY())&amp;"-"&amp;TEXT(WEEKNUM(TODAY(),2),"00"),"Breached","To be completed"))</f>
        <v>To be completed</v>
      </c>
      <c r="L118" s="20"/>
      <c r="M118" s="6"/>
    </row>
    <row r="119" spans="1:13" ht="14.4" x14ac:dyDescent="0.3">
      <c r="A119" s="20" t="s">
        <v>176</v>
      </c>
      <c r="B119" s="56" t="s">
        <v>175</v>
      </c>
      <c r="C119" s="46" t="s">
        <v>221</v>
      </c>
      <c r="D119" s="7">
        <v>45786</v>
      </c>
      <c r="E119" s="7"/>
      <c r="F119" s="46" t="s">
        <v>8</v>
      </c>
      <c r="G119" s="8">
        <v>0</v>
      </c>
      <c r="H119" t="s">
        <v>82</v>
      </c>
      <c r="I119" s="22" t="str">
        <f ca="1">IF(Milestones[[#This Row],[Percent complete]]=100%,"",IF(TODAY()&gt;Milestones[[#This Row],[Planned end date]],_xlfn.TEXTJOIN(" by ",TRUE,"Breached",TODAY()-D119)&amp;" days",""))</f>
        <v/>
      </c>
      <c r="J119" s="46" t="str">
        <f t="shared" ca="1" si="3"/>
        <v/>
      </c>
      <c r="K119" s="46" t="str">
        <f ca="1">IF(Milestones[[#This Row],[State]]="Closed Complete","",IF(YEAR(D119)&amp;"-"&amp;TEXT(WEEKNUM(D119,2),"00")&lt;YEAR(TODAY())&amp;"-"&amp;TEXT(WEEKNUM(TODAY(),2),"00"),"Breached","To be completed"))</f>
        <v>To be completed</v>
      </c>
      <c r="L119" s="20"/>
      <c r="M119" s="6"/>
    </row>
    <row r="120" spans="1:13" ht="14.4" x14ac:dyDescent="0.3">
      <c r="A120" s="20" t="s">
        <v>188</v>
      </c>
      <c r="B120" s="56" t="s">
        <v>175</v>
      </c>
      <c r="C120" s="20" t="s">
        <v>171</v>
      </c>
      <c r="D120" s="7">
        <v>45488</v>
      </c>
      <c r="E120" s="7">
        <v>45488</v>
      </c>
      <c r="F120" s="46" t="s">
        <v>4</v>
      </c>
      <c r="G120" s="8">
        <v>1</v>
      </c>
      <c r="H120" t="s">
        <v>76</v>
      </c>
      <c r="I120" s="22" t="str">
        <f ca="1">IF(Milestones[[#This Row],[Percent complete]]=100%,"",IF(TODAY()&gt;Milestones[[#This Row],[Planned end date]],_xlfn.TEXTJOIN(" by ",TRUE,"Breached",TODAY()-D120)&amp;" days",""))</f>
        <v/>
      </c>
      <c r="J120" s="46" t="str">
        <f t="shared" ca="1" si="3"/>
        <v/>
      </c>
      <c r="K120" s="46" t="str">
        <f ca="1">IF(Milestones[[#This Row],[State]]="Closed Complete","",IF(YEAR(D120)&amp;"-"&amp;TEXT(WEEKNUM(D120,2),"00")&lt;YEAR(TODAY())&amp;"-"&amp;TEXT(WEEKNUM(TODAY(),2),"00"),"Breached","To be completed"))</f>
        <v/>
      </c>
      <c r="L120" s="20"/>
      <c r="M120" s="6"/>
    </row>
    <row r="121" spans="1:13" ht="14.4" x14ac:dyDescent="0.3">
      <c r="A121" s="20" t="s">
        <v>188</v>
      </c>
      <c r="B121" s="56" t="s">
        <v>175</v>
      </c>
      <c r="C121" s="20" t="s">
        <v>171</v>
      </c>
      <c r="D121" s="7">
        <v>45642</v>
      </c>
      <c r="E121" s="7">
        <v>45642</v>
      </c>
      <c r="F121" s="46" t="s">
        <v>4</v>
      </c>
      <c r="G121" s="8">
        <v>1</v>
      </c>
      <c r="H121" t="s">
        <v>76</v>
      </c>
      <c r="I121" s="22" t="str">
        <f ca="1">IF(Milestones[[#This Row],[Percent complete]]=100%,"",IF(TODAY()&gt;Milestones[[#This Row],[Planned end date]],_xlfn.TEXTJOIN(" by ",TRUE,"Breached",TODAY()-D121)&amp;" days",""))</f>
        <v/>
      </c>
      <c r="J121" s="46" t="str">
        <f t="shared" ca="1" si="3"/>
        <v/>
      </c>
      <c r="K121" s="46" t="str">
        <f ca="1">IF(Milestones[[#This Row],[State]]="Closed Complete","",IF(YEAR(D121)&amp;"-"&amp;TEXT(WEEKNUM(D121,2),"00")&lt;YEAR(TODAY())&amp;"-"&amp;TEXT(WEEKNUM(TODAY(),2),"00"),"Breached","To be completed"))</f>
        <v/>
      </c>
      <c r="L121" s="20"/>
      <c r="M121" s="6"/>
    </row>
    <row r="122" spans="1:13" ht="14.4" x14ac:dyDescent="0.3">
      <c r="A122" s="20" t="s">
        <v>188</v>
      </c>
      <c r="B122" s="56" t="s">
        <v>175</v>
      </c>
      <c r="C122" s="20" t="s">
        <v>171</v>
      </c>
      <c r="D122" s="7">
        <v>45747</v>
      </c>
      <c r="E122" s="7"/>
      <c r="F122" s="46" t="s">
        <v>9</v>
      </c>
      <c r="G122" s="8">
        <v>0</v>
      </c>
      <c r="H122" t="s">
        <v>76</v>
      </c>
      <c r="I122" s="22" t="str">
        <f ca="1">IF(Milestones[[#This Row],[Percent complete]]=100%,"",IF(TODAY()&gt;Milestones[[#This Row],[Planned end date]],_xlfn.TEXTJOIN(" by ",TRUE,"Breached",TODAY()-D122)&amp;" days",""))</f>
        <v>Breached by 22 days</v>
      </c>
      <c r="J122" s="46" t="str">
        <f t="shared" ca="1" si="3"/>
        <v/>
      </c>
      <c r="K122" s="46" t="str">
        <f ca="1">IF(Milestones[[#This Row],[State]]="Closed Complete","",IF(YEAR(D122)&amp;"-"&amp;TEXT(WEEKNUM(D122,2),"00")&lt;YEAR(TODAY())&amp;"-"&amp;TEXT(WEEKNUM(TODAY(),2),"00"),"Breached","To be completed"))</f>
        <v>Breached</v>
      </c>
    </row>
    <row r="123" spans="1:13" ht="14.4" x14ac:dyDescent="0.3">
      <c r="A123" s="20" t="s">
        <v>188</v>
      </c>
      <c r="B123" s="56" t="s">
        <v>175</v>
      </c>
      <c r="C123" s="20" t="s">
        <v>171</v>
      </c>
      <c r="D123" s="7">
        <v>45747</v>
      </c>
      <c r="E123" s="7"/>
      <c r="F123" s="46" t="s">
        <v>9</v>
      </c>
      <c r="G123" s="8">
        <v>0</v>
      </c>
      <c r="H123" t="s">
        <v>76</v>
      </c>
      <c r="I123" s="22" t="str">
        <f ca="1">IF(Milestones[[#This Row],[Percent complete]]=100%,"",IF(TODAY()&gt;Milestones[[#This Row],[Planned end date]],_xlfn.TEXTJOIN(" by ",TRUE,"Breached",TODAY()-D123)&amp;" days",""))</f>
        <v>Breached by 22 days</v>
      </c>
      <c r="J123" s="46" t="str">
        <f t="shared" ca="1" si="3"/>
        <v/>
      </c>
      <c r="K123" s="46" t="str">
        <f ca="1">IF(Milestones[[#This Row],[State]]="Closed Complete","",IF(YEAR(D123)&amp;"-"&amp;TEXT(WEEKNUM(D123,2),"00")&lt;YEAR(TODAY())&amp;"-"&amp;TEXT(WEEKNUM(TODAY(),2),"00"),"Breached","To be completed"))</f>
        <v>Breached</v>
      </c>
    </row>
    <row r="124" spans="1:13" ht="14.4" x14ac:dyDescent="0.3">
      <c r="A124" s="20" t="s">
        <v>188</v>
      </c>
      <c r="B124" s="56" t="s">
        <v>175</v>
      </c>
      <c r="C124" s="20" t="s">
        <v>171</v>
      </c>
      <c r="D124" s="7">
        <v>46022</v>
      </c>
      <c r="E124" s="7"/>
      <c r="F124" s="46" t="s">
        <v>9</v>
      </c>
      <c r="G124" s="8">
        <v>0</v>
      </c>
      <c r="H124" t="s">
        <v>76</v>
      </c>
      <c r="I124" s="22" t="str">
        <f ca="1">IF(Milestones[[#This Row],[Percent complete]]=100%,"",IF(TODAY()&gt;Milestones[[#This Row],[Planned end date]],_xlfn.TEXTJOIN(" by ",TRUE,"Breached",TODAY()-D124)&amp;" days",""))</f>
        <v/>
      </c>
      <c r="J124" s="46" t="str">
        <f t="shared" ca="1" si="3"/>
        <v/>
      </c>
      <c r="K124" s="46" t="str">
        <f ca="1">IF(Milestones[[#This Row],[State]]="Closed Complete","",IF(YEAR(D124)&amp;"-"&amp;TEXT(WEEKNUM(D124,2),"00")&lt;YEAR(TODAY())&amp;"-"&amp;TEXT(WEEKNUM(TODAY(),2),"00"),"Breached","To be completed"))</f>
        <v>To be completed</v>
      </c>
    </row>
    <row r="125" spans="1:13" ht="14.4" x14ac:dyDescent="0.3">
      <c r="A125" s="20" t="s">
        <v>188</v>
      </c>
      <c r="B125" s="56" t="s">
        <v>175</v>
      </c>
      <c r="C125" s="20" t="s">
        <v>171</v>
      </c>
      <c r="D125" s="7">
        <v>46022</v>
      </c>
      <c r="E125" s="7"/>
      <c r="F125" s="46" t="s">
        <v>9</v>
      </c>
      <c r="G125" s="8">
        <v>0</v>
      </c>
      <c r="H125" t="s">
        <v>76</v>
      </c>
      <c r="I125" s="22" t="str">
        <f ca="1">IF(Milestones[[#This Row],[Percent complete]]=100%,"",IF(TODAY()&gt;Milestones[[#This Row],[Planned end date]],_xlfn.TEXTJOIN(" by ",TRUE,"Breached",TODAY()-D125)&amp;" days",""))</f>
        <v/>
      </c>
      <c r="J125" s="46" t="str">
        <f t="shared" ca="1" si="3"/>
        <v/>
      </c>
      <c r="K125" s="46" t="str">
        <f ca="1">IF(Milestones[[#This Row],[State]]="Closed Complete","",IF(YEAR(D125)&amp;"-"&amp;TEXT(WEEKNUM(D125,2),"00")&lt;YEAR(TODAY())&amp;"-"&amp;TEXT(WEEKNUM(TODAY(),2),"00"),"Breached","To be completed"))</f>
        <v>To be completed</v>
      </c>
    </row>
    <row r="126" spans="1:13" ht="14.4" x14ac:dyDescent="0.3">
      <c r="A126" s="20" t="s">
        <v>188</v>
      </c>
      <c r="B126" s="56" t="s">
        <v>175</v>
      </c>
      <c r="C126" s="20" t="s">
        <v>171</v>
      </c>
      <c r="D126" s="7">
        <v>46053</v>
      </c>
      <c r="E126" s="7"/>
      <c r="F126" s="46" t="s">
        <v>9</v>
      </c>
      <c r="G126" s="8">
        <v>0</v>
      </c>
      <c r="H126" t="s">
        <v>76</v>
      </c>
      <c r="I126" s="22" t="str">
        <f ca="1">IF(Milestones[[#This Row],[Percent complete]]=100%,"",IF(TODAY()&gt;Milestones[[#This Row],[Planned end date]],_xlfn.TEXTJOIN(" by ",TRUE,"Breached",TODAY()-D126)&amp;" days",""))</f>
        <v/>
      </c>
      <c r="J126" s="46" t="str">
        <f t="shared" ca="1" si="3"/>
        <v/>
      </c>
      <c r="K126" s="46" t="str">
        <f ca="1">IF(Milestones[[#This Row],[State]]="Closed Complete","",IF(YEAR(D126)&amp;"-"&amp;TEXT(WEEKNUM(D126,2),"00")&lt;YEAR(TODAY())&amp;"-"&amp;TEXT(WEEKNUM(TODAY(),2),"00"),"Breached","To be completed"))</f>
        <v>To be completed</v>
      </c>
    </row>
    <row r="127" spans="1:13" ht="14.4" x14ac:dyDescent="0.3">
      <c r="A127" s="20" t="s">
        <v>177</v>
      </c>
      <c r="B127" s="56" t="s">
        <v>175</v>
      </c>
      <c r="C127" s="20" t="s">
        <v>172</v>
      </c>
      <c r="D127" s="7">
        <v>45418</v>
      </c>
      <c r="E127" s="7">
        <v>45418</v>
      </c>
      <c r="F127" s="46" t="s">
        <v>4</v>
      </c>
      <c r="G127" s="8">
        <v>1</v>
      </c>
      <c r="H127" t="s">
        <v>77</v>
      </c>
      <c r="I127" s="22" t="str">
        <f ca="1">IF(Milestones[[#This Row],[Percent complete]]=100%,"",IF(TODAY()&gt;Milestones[[#This Row],[Planned end date]],_xlfn.TEXTJOIN(" by ",TRUE,"Breached",TODAY()-D127)&amp;" days",""))</f>
        <v/>
      </c>
      <c r="J127" s="46" t="str">
        <f t="shared" ca="1" si="3"/>
        <v/>
      </c>
      <c r="K127" s="46" t="str">
        <f ca="1">IF(Milestones[[#This Row],[State]]="Closed Complete","",IF(YEAR(D127)&amp;"-"&amp;TEXT(WEEKNUM(D127,2),"00")&lt;YEAR(TODAY())&amp;"-"&amp;TEXT(WEEKNUM(TODAY(),2),"00"),"Breached","To be completed"))</f>
        <v/>
      </c>
    </row>
    <row r="128" spans="1:13" ht="14.4" x14ac:dyDescent="0.3">
      <c r="A128" s="20" t="s">
        <v>177</v>
      </c>
      <c r="B128" s="56" t="s">
        <v>175</v>
      </c>
      <c r="C128" s="20" t="s">
        <v>172</v>
      </c>
      <c r="D128" s="7">
        <v>45747</v>
      </c>
      <c r="E128" s="7"/>
      <c r="F128" s="46" t="s">
        <v>9</v>
      </c>
      <c r="G128" s="8">
        <v>0</v>
      </c>
      <c r="H128" t="s">
        <v>77</v>
      </c>
      <c r="I128" s="22" t="str">
        <f ca="1">IF(Milestones[[#This Row],[Percent complete]]=100%,"",IF(TODAY()&gt;Milestones[[#This Row],[Planned end date]],_xlfn.TEXTJOIN(" by ",TRUE,"Breached",TODAY()-D128)&amp;" days",""))</f>
        <v>Breached by 22 days</v>
      </c>
      <c r="J128" s="46" t="str">
        <f t="shared" ca="1" si="3"/>
        <v/>
      </c>
      <c r="K128" s="46" t="str">
        <f ca="1">IF(Milestones[[#This Row],[State]]="Closed Complete","",IF(YEAR(D128)&amp;"-"&amp;TEXT(WEEKNUM(D128,2),"00")&lt;YEAR(TODAY())&amp;"-"&amp;TEXT(WEEKNUM(TODAY(),2),"00"),"Breached","To be completed"))</f>
        <v>Breached</v>
      </c>
    </row>
    <row r="129" spans="1:11" ht="14.4" x14ac:dyDescent="0.3">
      <c r="A129" s="20" t="s">
        <v>177</v>
      </c>
      <c r="B129" s="56" t="s">
        <v>175</v>
      </c>
      <c r="C129" s="20" t="s">
        <v>172</v>
      </c>
      <c r="D129" s="7">
        <v>45808</v>
      </c>
      <c r="E129" s="7"/>
      <c r="F129" s="46" t="s">
        <v>9</v>
      </c>
      <c r="G129" s="8">
        <v>0</v>
      </c>
      <c r="H129" t="s">
        <v>77</v>
      </c>
      <c r="I129" s="22" t="str">
        <f ca="1">IF(Milestones[[#This Row],[Percent complete]]=100%,"",IF(TODAY()&gt;Milestones[[#This Row],[Planned end date]],_xlfn.TEXTJOIN(" by ",TRUE,"Breached",TODAY()-D129)&amp;" days",""))</f>
        <v/>
      </c>
      <c r="J129" s="46" t="str">
        <f t="shared" ca="1" si="3"/>
        <v/>
      </c>
      <c r="K129" s="46" t="str">
        <f ca="1">IF(Milestones[[#This Row],[State]]="Closed Complete","",IF(YEAR(D129)&amp;"-"&amp;TEXT(WEEKNUM(D129,2),"00")&lt;YEAR(TODAY())&amp;"-"&amp;TEXT(WEEKNUM(TODAY(),2),"00"),"Breached","To be completed"))</f>
        <v>To be completed</v>
      </c>
    </row>
    <row r="130" spans="1:11" ht="14.4" x14ac:dyDescent="0.3">
      <c r="A130" s="20" t="s">
        <v>180</v>
      </c>
      <c r="B130" s="56" t="s">
        <v>175</v>
      </c>
      <c r="C130" s="46" t="s">
        <v>221</v>
      </c>
      <c r="D130" s="7">
        <v>45457</v>
      </c>
      <c r="E130" s="7"/>
      <c r="F130" s="46" t="s">
        <v>85</v>
      </c>
      <c r="G130" s="8">
        <v>0</v>
      </c>
      <c r="H130" t="s">
        <v>83</v>
      </c>
      <c r="I130" s="22" t="str">
        <f ca="1">IF(Milestones[[#This Row],[Percent complete]]=100%,"",IF(TODAY()&gt;Milestones[[#This Row],[Planned end date]],_xlfn.TEXTJOIN(" by ",TRUE,"Breached",TODAY()-D130)&amp;" days",""))</f>
        <v>Breached by 312 days</v>
      </c>
      <c r="J130" s="46" t="str">
        <f t="shared" ref="J130:J143" ca="1" si="4">IF(AND(E130&lt;&gt;"",E130&gt;=TODAY()-21, E130&lt;=TODAY()),TRUE,"")</f>
        <v/>
      </c>
      <c r="K130" s="46" t="str">
        <f ca="1">IF(Milestones[[#This Row],[State]]="Closed Complete","",IF(YEAR(D130)&amp;"-"&amp;TEXT(WEEKNUM(D130,2),"00")&lt;YEAR(TODAY())&amp;"-"&amp;TEXT(WEEKNUM(TODAY(),2),"00"),"Breached","To be completed"))</f>
        <v>Breached</v>
      </c>
    </row>
    <row r="131" spans="1:11" ht="14.4" x14ac:dyDescent="0.3">
      <c r="A131" s="20" t="s">
        <v>180</v>
      </c>
      <c r="B131" s="56" t="s">
        <v>175</v>
      </c>
      <c r="C131" s="46" t="s">
        <v>221</v>
      </c>
      <c r="D131" s="7">
        <v>45485</v>
      </c>
      <c r="E131" s="7"/>
      <c r="F131" s="46" t="s">
        <v>85</v>
      </c>
      <c r="G131" s="8">
        <v>0</v>
      </c>
      <c r="H131" t="s">
        <v>83</v>
      </c>
      <c r="I131" s="22" t="str">
        <f ca="1">IF(Milestones[[#This Row],[Percent complete]]=100%,"",IF(TODAY()&gt;Milestones[[#This Row],[Planned end date]],_xlfn.TEXTJOIN(" by ",TRUE,"Breached",TODAY()-D131)&amp;" days",""))</f>
        <v>Breached by 284 days</v>
      </c>
      <c r="J131" s="46" t="str">
        <f t="shared" ca="1" si="4"/>
        <v/>
      </c>
      <c r="K131" s="46" t="str">
        <f ca="1">IF(Milestones[[#This Row],[State]]="Closed Complete","",IF(YEAR(D131)&amp;"-"&amp;TEXT(WEEKNUM(D131,2),"00")&lt;YEAR(TODAY())&amp;"-"&amp;TEXT(WEEKNUM(TODAY(),2),"00"),"Breached","To be completed"))</f>
        <v>Breached</v>
      </c>
    </row>
    <row r="132" spans="1:11" ht="14.4" x14ac:dyDescent="0.3">
      <c r="A132" s="20" t="s">
        <v>180</v>
      </c>
      <c r="B132" s="56" t="s">
        <v>175</v>
      </c>
      <c r="C132" s="46" t="s">
        <v>221</v>
      </c>
      <c r="D132" s="7">
        <v>45492</v>
      </c>
      <c r="E132" s="7"/>
      <c r="F132" s="46" t="s">
        <v>85</v>
      </c>
      <c r="G132" s="8">
        <v>0</v>
      </c>
      <c r="H132" t="s">
        <v>83</v>
      </c>
      <c r="I132" s="22" t="str">
        <f ca="1">IF(Milestones[[#This Row],[Percent complete]]=100%,"",IF(TODAY()&gt;Milestones[[#This Row],[Planned end date]],_xlfn.TEXTJOIN(" by ",TRUE,"Breached",TODAY()-D132)&amp;" days",""))</f>
        <v>Breached by 277 days</v>
      </c>
      <c r="J132" s="46" t="str">
        <f t="shared" ca="1" si="4"/>
        <v/>
      </c>
      <c r="K132" s="46" t="str">
        <f ca="1">IF(Milestones[[#This Row],[State]]="Closed Complete","",IF(YEAR(D132)&amp;"-"&amp;TEXT(WEEKNUM(D132,2),"00")&lt;YEAR(TODAY())&amp;"-"&amp;TEXT(WEEKNUM(TODAY(),2),"00"),"Breached","To be completed"))</f>
        <v>Breached</v>
      </c>
    </row>
    <row r="133" spans="1:11" ht="14.4" x14ac:dyDescent="0.3">
      <c r="A133" s="20" t="s">
        <v>180</v>
      </c>
      <c r="B133" s="56" t="s">
        <v>175</v>
      </c>
      <c r="C133" s="46" t="s">
        <v>221</v>
      </c>
      <c r="D133" s="7">
        <v>45504</v>
      </c>
      <c r="E133" s="7"/>
      <c r="F133" s="46" t="s">
        <v>85</v>
      </c>
      <c r="G133" s="8">
        <v>0</v>
      </c>
      <c r="H133" t="s">
        <v>83</v>
      </c>
      <c r="I133" s="22" t="str">
        <f ca="1">IF(Milestones[[#This Row],[Percent complete]]=100%,"",IF(TODAY()&gt;Milestones[[#This Row],[Planned end date]],_xlfn.TEXTJOIN(" by ",TRUE,"Breached",TODAY()-D133)&amp;" days",""))</f>
        <v>Breached by 265 days</v>
      </c>
      <c r="J133" s="46" t="str">
        <f t="shared" ca="1" si="4"/>
        <v/>
      </c>
      <c r="K133" s="46" t="str">
        <f ca="1">IF(Milestones[[#This Row],[State]]="Closed Complete","",IF(YEAR(D133)&amp;"-"&amp;TEXT(WEEKNUM(D133,2),"00")&lt;YEAR(TODAY())&amp;"-"&amp;TEXT(WEEKNUM(TODAY(),2),"00"),"Breached","To be completed"))</f>
        <v>Breached</v>
      </c>
    </row>
    <row r="134" spans="1:11" ht="14.4" x14ac:dyDescent="0.3">
      <c r="A134" s="20" t="s">
        <v>190</v>
      </c>
      <c r="B134" s="56" t="s">
        <v>175</v>
      </c>
      <c r="C134" s="46" t="s">
        <v>221</v>
      </c>
      <c r="D134" s="7">
        <v>45093</v>
      </c>
      <c r="E134" s="7">
        <v>45093</v>
      </c>
      <c r="F134" s="46" t="s">
        <v>4</v>
      </c>
      <c r="G134" s="8">
        <v>1</v>
      </c>
      <c r="H134" t="s">
        <v>84</v>
      </c>
      <c r="I134" s="22" t="str">
        <f ca="1">IF(Milestones[[#This Row],[Percent complete]]=100%,"",IF(TODAY()&gt;Milestones[[#This Row],[Planned end date]],_xlfn.TEXTJOIN(" by ",TRUE,"Breached",TODAY()-D134)&amp;" days",""))</f>
        <v/>
      </c>
      <c r="J134" s="46" t="str">
        <f t="shared" ca="1" si="4"/>
        <v/>
      </c>
      <c r="K134" s="46" t="str">
        <f ca="1">IF(Milestones[[#This Row],[State]]="Closed Complete","",IF(YEAR(D134)&amp;"-"&amp;TEXT(WEEKNUM(D134,2),"00")&lt;YEAR(TODAY())&amp;"-"&amp;TEXT(WEEKNUM(TODAY(),2),"00"),"Breached","To be completed"))</f>
        <v/>
      </c>
    </row>
    <row r="135" spans="1:11" ht="14.4" x14ac:dyDescent="0.3">
      <c r="A135" s="20" t="s">
        <v>190</v>
      </c>
      <c r="B135" s="56" t="s">
        <v>175</v>
      </c>
      <c r="C135" s="46" t="s">
        <v>221</v>
      </c>
      <c r="D135" s="7">
        <v>45121</v>
      </c>
      <c r="E135" s="7">
        <v>45121</v>
      </c>
      <c r="F135" s="46" t="s">
        <v>4</v>
      </c>
      <c r="G135" s="8">
        <v>1</v>
      </c>
      <c r="H135" t="s">
        <v>84</v>
      </c>
      <c r="I135" s="22" t="str">
        <f ca="1">IF(Milestones[[#This Row],[Percent complete]]=100%,"",IF(TODAY()&gt;Milestones[[#This Row],[Planned end date]],_xlfn.TEXTJOIN(" by ",TRUE,"Breached",TODAY()-D135)&amp;" days",""))</f>
        <v/>
      </c>
      <c r="J135" s="46" t="str">
        <f t="shared" ca="1" si="4"/>
        <v/>
      </c>
      <c r="K135" s="46" t="str">
        <f ca="1">IF(Milestones[[#This Row],[State]]="Closed Complete","",IF(YEAR(D135)&amp;"-"&amp;TEXT(WEEKNUM(D135,2),"00")&lt;YEAR(TODAY())&amp;"-"&amp;TEXT(WEEKNUM(TODAY(),2),"00"),"Breached","To be completed"))</f>
        <v/>
      </c>
    </row>
    <row r="136" spans="1:11" ht="14.4" x14ac:dyDescent="0.3">
      <c r="A136" s="20" t="s">
        <v>190</v>
      </c>
      <c r="B136" s="56" t="s">
        <v>175</v>
      </c>
      <c r="C136" s="46" t="s">
        <v>221</v>
      </c>
      <c r="D136" s="7">
        <v>45148</v>
      </c>
      <c r="E136" s="7">
        <v>45148</v>
      </c>
      <c r="F136" s="46" t="s">
        <v>4</v>
      </c>
      <c r="G136" s="8">
        <v>1</v>
      </c>
      <c r="H136" t="s">
        <v>84</v>
      </c>
      <c r="I136" s="22" t="str">
        <f ca="1">IF(Milestones[[#This Row],[Percent complete]]=100%,"",IF(TODAY()&gt;Milestones[[#This Row],[Planned end date]],_xlfn.TEXTJOIN(" by ",TRUE,"Breached",TODAY()-D136)&amp;" days",""))</f>
        <v/>
      </c>
      <c r="J136" s="46" t="str">
        <f t="shared" ca="1" si="4"/>
        <v/>
      </c>
      <c r="K136" s="46" t="str">
        <f ca="1">IF(Milestones[[#This Row],[State]]="Closed Complete","",IF(YEAR(D136)&amp;"-"&amp;TEXT(WEEKNUM(D136,2),"00")&lt;YEAR(TODAY())&amp;"-"&amp;TEXT(WEEKNUM(TODAY(),2),"00"),"Breached","To be completed"))</f>
        <v/>
      </c>
    </row>
    <row r="137" spans="1:11" ht="14.4" x14ac:dyDescent="0.3">
      <c r="A137" s="20" t="s">
        <v>190</v>
      </c>
      <c r="B137" s="56" t="s">
        <v>175</v>
      </c>
      <c r="C137" s="46" t="s">
        <v>221</v>
      </c>
      <c r="D137" s="7">
        <v>45212</v>
      </c>
      <c r="E137" s="7">
        <v>45212</v>
      </c>
      <c r="F137" s="46" t="s">
        <v>4</v>
      </c>
      <c r="G137" s="8">
        <v>1</v>
      </c>
      <c r="H137" t="s">
        <v>84</v>
      </c>
      <c r="I137" s="22" t="str">
        <f ca="1">IF(Milestones[[#This Row],[Percent complete]]=100%,"",IF(TODAY()&gt;Milestones[[#This Row],[Planned end date]],_xlfn.TEXTJOIN(" by ",TRUE,"Breached",TODAY()-D137)&amp;" days",""))</f>
        <v/>
      </c>
      <c r="J137" s="46" t="str">
        <f t="shared" ca="1" si="4"/>
        <v/>
      </c>
      <c r="K137" s="46" t="str">
        <f ca="1">IF(Milestones[[#This Row],[State]]="Closed Complete","",IF(YEAR(D137)&amp;"-"&amp;TEXT(WEEKNUM(D137,2),"00")&lt;YEAR(TODAY())&amp;"-"&amp;TEXT(WEEKNUM(TODAY(),2),"00"),"Breached","To be completed"))</f>
        <v/>
      </c>
    </row>
    <row r="138" spans="1:11" ht="14.4" x14ac:dyDescent="0.3">
      <c r="A138" s="20" t="s">
        <v>190</v>
      </c>
      <c r="B138" s="56" t="s">
        <v>175</v>
      </c>
      <c r="C138" s="46" t="s">
        <v>221</v>
      </c>
      <c r="D138" s="7">
        <v>45387</v>
      </c>
      <c r="E138" s="7">
        <v>45387</v>
      </c>
      <c r="F138" s="46" t="s">
        <v>4</v>
      </c>
      <c r="G138" s="8">
        <v>1</v>
      </c>
      <c r="H138" t="s">
        <v>84</v>
      </c>
      <c r="I138" s="22" t="str">
        <f ca="1">IF(Milestones[[#This Row],[Percent complete]]=100%,"",IF(TODAY()&gt;Milestones[[#This Row],[Planned end date]],_xlfn.TEXTJOIN(" by ",TRUE,"Breached",TODAY()-D138)&amp;" days",""))</f>
        <v/>
      </c>
      <c r="J138" s="46" t="str">
        <f t="shared" ca="1" si="4"/>
        <v/>
      </c>
      <c r="K138" s="46" t="str">
        <f ca="1">IF(Milestones[[#This Row],[State]]="Closed Complete","",IF(YEAR(D138)&amp;"-"&amp;TEXT(WEEKNUM(D138,2),"00")&lt;YEAR(TODAY())&amp;"-"&amp;TEXT(WEEKNUM(TODAY(),2),"00"),"Breached","To be completed"))</f>
        <v/>
      </c>
    </row>
    <row r="139" spans="1:11" ht="14.4" x14ac:dyDescent="0.3">
      <c r="A139" s="20" t="s">
        <v>190</v>
      </c>
      <c r="B139" s="56" t="s">
        <v>175</v>
      </c>
      <c r="C139" s="46" t="s">
        <v>221</v>
      </c>
      <c r="D139" s="7">
        <v>45394</v>
      </c>
      <c r="E139" s="7">
        <v>45394</v>
      </c>
      <c r="F139" s="46" t="s">
        <v>4</v>
      </c>
      <c r="G139" s="8">
        <v>1</v>
      </c>
      <c r="H139" t="s">
        <v>84</v>
      </c>
      <c r="I139" s="22" t="str">
        <f ca="1">IF(Milestones[[#This Row],[Percent complete]]=100%,"",IF(TODAY()&gt;Milestones[[#This Row],[Planned end date]],_xlfn.TEXTJOIN(" by ",TRUE,"Breached",TODAY()-D139)&amp;" days",""))</f>
        <v/>
      </c>
      <c r="J139" s="46" t="str">
        <f t="shared" ca="1" si="4"/>
        <v/>
      </c>
      <c r="K139" s="46" t="str">
        <f ca="1">IF(Milestones[[#This Row],[State]]="Closed Complete","",IF(YEAR(D139)&amp;"-"&amp;TEXT(WEEKNUM(D139,2),"00")&lt;YEAR(TODAY())&amp;"-"&amp;TEXT(WEEKNUM(TODAY(),2),"00"),"Breached","To be completed"))</f>
        <v/>
      </c>
    </row>
    <row r="140" spans="1:11" ht="14.4" x14ac:dyDescent="0.3">
      <c r="A140" s="20" t="s">
        <v>190</v>
      </c>
      <c r="B140" s="56" t="s">
        <v>175</v>
      </c>
      <c r="C140" s="46" t="s">
        <v>221</v>
      </c>
      <c r="D140" s="7">
        <v>45635</v>
      </c>
      <c r="E140" s="7">
        <v>45635</v>
      </c>
      <c r="F140" s="46" t="s">
        <v>4</v>
      </c>
      <c r="G140" s="8">
        <v>1</v>
      </c>
      <c r="H140" t="s">
        <v>84</v>
      </c>
      <c r="I140" s="22" t="str">
        <f ca="1">IF(Milestones[[#This Row],[Percent complete]]=100%,"",IF(TODAY()&gt;Milestones[[#This Row],[Planned end date]],_xlfn.TEXTJOIN(" by ",TRUE,"Breached",TODAY()-D140)&amp;" days",""))</f>
        <v/>
      </c>
      <c r="J140" s="46" t="str">
        <f t="shared" ca="1" si="4"/>
        <v/>
      </c>
      <c r="K140" s="46" t="str">
        <f ca="1">IF(Milestones[[#This Row],[State]]="Closed Complete","",IF(YEAR(D140)&amp;"-"&amp;TEXT(WEEKNUM(D140,2),"00")&lt;YEAR(TODAY())&amp;"-"&amp;TEXT(WEEKNUM(TODAY(),2),"00"),"Breached","To be completed"))</f>
        <v/>
      </c>
    </row>
    <row r="141" spans="1:11" ht="14.4" x14ac:dyDescent="0.3">
      <c r="A141" s="20" t="s">
        <v>190</v>
      </c>
      <c r="B141" s="56" t="s">
        <v>175</v>
      </c>
      <c r="C141" s="46" t="s">
        <v>221</v>
      </c>
      <c r="D141" s="7">
        <v>45747</v>
      </c>
      <c r="E141" s="7"/>
      <c r="F141" s="46" t="s">
        <v>9</v>
      </c>
      <c r="G141" s="8">
        <v>0</v>
      </c>
      <c r="H141" t="s">
        <v>84</v>
      </c>
      <c r="I141" s="22" t="str">
        <f ca="1">IF(Milestones[[#This Row],[Percent complete]]=100%,"",IF(TODAY()&gt;Milestones[[#This Row],[Planned end date]],_xlfn.TEXTJOIN(" by ",TRUE,"Breached",TODAY()-D141)&amp;" days",""))</f>
        <v>Breached by 22 days</v>
      </c>
      <c r="J141" s="46" t="str">
        <f t="shared" ca="1" si="4"/>
        <v/>
      </c>
      <c r="K141" s="46" t="str">
        <f ca="1">IF(Milestones[[#This Row],[State]]="Closed Complete","",IF(YEAR(D141)&amp;"-"&amp;TEXT(WEEKNUM(D141,2),"00")&lt;YEAR(TODAY())&amp;"-"&amp;TEXT(WEEKNUM(TODAY(),2),"00"),"Breached","To be completed"))</f>
        <v>Breached</v>
      </c>
    </row>
    <row r="142" spans="1:11" ht="14.4" x14ac:dyDescent="0.3">
      <c r="A142" s="20" t="s">
        <v>190</v>
      </c>
      <c r="B142" s="56" t="s">
        <v>175</v>
      </c>
      <c r="C142" s="46" t="s">
        <v>221</v>
      </c>
      <c r="D142" s="7">
        <v>45751</v>
      </c>
      <c r="E142" s="7"/>
      <c r="F142" s="46" t="s">
        <v>9</v>
      </c>
      <c r="G142" s="8">
        <v>0</v>
      </c>
      <c r="H142" t="s">
        <v>84</v>
      </c>
      <c r="I142" s="22" t="str">
        <f ca="1">IF(Milestones[[#This Row],[Percent complete]]=100%,"",IF(TODAY()&gt;Milestones[[#This Row],[Planned end date]],_xlfn.TEXTJOIN(" by ",TRUE,"Breached",TODAY()-D142)&amp;" days",""))</f>
        <v>Breached by 18 days</v>
      </c>
      <c r="J142" s="46" t="str">
        <f t="shared" ca="1" si="4"/>
        <v/>
      </c>
      <c r="K142" s="46" t="str">
        <f ca="1">IF(Milestones[[#This Row],[State]]="Closed Complete","",IF(YEAR(D142)&amp;"-"&amp;TEXT(WEEKNUM(D142,2),"00")&lt;YEAR(TODAY())&amp;"-"&amp;TEXT(WEEKNUM(TODAY(),2),"00"),"Breached","To be completed"))</f>
        <v>Breached</v>
      </c>
    </row>
    <row r="143" spans="1:11" ht="14.4" x14ac:dyDescent="0.3">
      <c r="A143" s="20" t="s">
        <v>193</v>
      </c>
      <c r="B143" s="56" t="s">
        <v>175</v>
      </c>
      <c r="C143" s="20" t="s">
        <v>173</v>
      </c>
      <c r="D143" s="7">
        <v>45810</v>
      </c>
      <c r="E143" s="7"/>
      <c r="F143" s="46" t="s">
        <v>8</v>
      </c>
      <c r="G143" s="8">
        <v>0</v>
      </c>
      <c r="H143" t="s">
        <v>126</v>
      </c>
      <c r="I143" s="22" t="str">
        <f ca="1">IF(Milestones[[#This Row],[Percent complete]]=100%,"",IF(TODAY()&gt;Milestones[[#This Row],[Planned end date]],_xlfn.TEXTJOIN(" by ",TRUE,"Breached",TODAY()-D143)&amp;" days",""))</f>
        <v/>
      </c>
      <c r="J143" s="46" t="str">
        <f t="shared" ca="1" si="4"/>
        <v/>
      </c>
      <c r="K143" s="46" t="str">
        <f ca="1">IF(Milestones[[#This Row],[State]]="Closed Complete","",IF(YEAR(D143)&amp;"-"&amp;TEXT(WEEKNUM(D143,2),"00")&lt;YEAR(TODAY())&amp;"-"&amp;TEXT(WEEKNUM(TODAY(),2),"00"),"Breached","To be completed"))</f>
        <v>To be completed</v>
      </c>
    </row>
  </sheetData>
  <phoneticPr fontId="2" type="noConversion"/>
  <conditionalFormatting sqref="M122:M1048576 L107:L121">
    <cfRule type="containsText" dxfId="99" priority="4" operator="containsText" text="Breached">
      <formula>NOT(ISERROR(SEARCH("Breached",L107)))</formula>
    </cfRule>
  </conditionalFormatting>
  <conditionalFormatting sqref="I1">
    <cfRule type="dataBar" priority="3">
      <dataBar>
        <cfvo type="min"/>
        <cfvo type="max"/>
        <color rgb="FFFFB628"/>
      </dataBar>
      <extLst>
        <ext xmlns:x14="http://schemas.microsoft.com/office/spreadsheetml/2009/9/main" uri="{B025F937-C7B1-47D3-B67F-A62EFF666E3E}">
          <x14:id>{B9F7A6EF-9C43-430A-BB23-0A83E8ED095E}</x14:id>
        </ext>
      </extLst>
    </cfRule>
  </conditionalFormatting>
  <conditionalFormatting sqref="L122:L1048576 G1:G143">
    <cfRule type="dataBar" priority="114">
      <dataBar>
        <cfvo type="min"/>
        <cfvo type="max"/>
        <color rgb="FFFFB628"/>
      </dataBar>
      <extLst>
        <ext xmlns:x14="http://schemas.microsoft.com/office/spreadsheetml/2009/9/main" uri="{B025F937-C7B1-47D3-B67F-A62EFF666E3E}">
          <x14:id>{E36F95FA-CCA7-40C6-88FE-894793B64CB4}</x14:id>
        </ext>
      </extLst>
    </cfRule>
  </conditionalFormatting>
  <conditionalFormatting sqref="G2:G143">
    <cfRule type="dataBar" priority="117">
      <dataBar>
        <cfvo type="min"/>
        <cfvo type="max"/>
        <color rgb="FF638EC6"/>
      </dataBar>
      <extLst>
        <ext xmlns:x14="http://schemas.microsoft.com/office/spreadsheetml/2009/9/main" uri="{B025F937-C7B1-47D3-B67F-A62EFF666E3E}">
          <x14:id>{2C6727EA-5797-4ED7-BD77-590E6644624B}</x14:id>
        </ext>
      </extLst>
    </cfRule>
  </conditionalFormatting>
  <conditionalFormatting sqref="H1">
    <cfRule type="dataBar" priority="1">
      <dataBar>
        <cfvo type="min"/>
        <cfvo type="max"/>
        <color rgb="FFFFB628"/>
      </dataBar>
      <extLst>
        <ext xmlns:x14="http://schemas.microsoft.com/office/spreadsheetml/2009/9/main" uri="{B025F937-C7B1-47D3-B67F-A62EFF666E3E}">
          <x14:id>{F5B1A4CB-13EA-4145-82BC-5332B27CABF5}</x14:id>
        </ext>
      </extLst>
    </cfRule>
  </conditionalFormatting>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9F7A6EF-9C43-430A-BB23-0A83E8ED095E}">
            <x14:dataBar minLength="0" maxLength="100" gradient="0">
              <x14:cfvo type="autoMin"/>
              <x14:cfvo type="autoMax"/>
              <x14:negativeFillColor rgb="FFFF0000"/>
              <x14:axisColor rgb="FF000000"/>
            </x14:dataBar>
          </x14:cfRule>
          <xm:sqref>I1</xm:sqref>
        </x14:conditionalFormatting>
        <x14:conditionalFormatting xmlns:xm="http://schemas.microsoft.com/office/excel/2006/main">
          <x14:cfRule type="dataBar" id="{E36F95FA-CCA7-40C6-88FE-894793B64CB4}">
            <x14:dataBar minLength="0" maxLength="100" gradient="0">
              <x14:cfvo type="autoMin"/>
              <x14:cfvo type="autoMax"/>
              <x14:negativeFillColor rgb="FFFF0000"/>
              <x14:axisColor rgb="FF000000"/>
            </x14:dataBar>
          </x14:cfRule>
          <xm:sqref>L122:L1048576 G1:G143</xm:sqref>
        </x14:conditionalFormatting>
        <x14:conditionalFormatting xmlns:xm="http://schemas.microsoft.com/office/excel/2006/main">
          <x14:cfRule type="dataBar" id="{2C6727EA-5797-4ED7-BD77-590E6644624B}">
            <x14:dataBar minLength="0" maxLength="100" border="1" negativeBarBorderColorSameAsPositive="0">
              <x14:cfvo type="autoMin"/>
              <x14:cfvo type="autoMax"/>
              <x14:borderColor rgb="FF638EC6"/>
              <x14:negativeFillColor rgb="FFFF0000"/>
              <x14:negativeBorderColor rgb="FFFF0000"/>
              <x14:axisColor rgb="FF000000"/>
            </x14:dataBar>
          </x14:cfRule>
          <xm:sqref>G2:G143</xm:sqref>
        </x14:conditionalFormatting>
        <x14:conditionalFormatting xmlns:xm="http://schemas.microsoft.com/office/excel/2006/main">
          <x14:cfRule type="dataBar" id="{F5B1A4CB-13EA-4145-82BC-5332B27CABF5}">
            <x14:dataBar minLength="0" maxLength="100" gradient="0">
              <x14:cfvo type="autoMin"/>
              <x14:cfvo type="autoMax"/>
              <x14:negativeFillColor rgb="FFFF0000"/>
              <x14:axisColor rgb="FF000000"/>
            </x14:dataBar>
          </x14:cfRule>
          <xm:sqref>H1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2935D-FEC9-4AC9-B6F8-4E6934128471}">
  <sheetPr codeName="Sheet6">
    <tabColor theme="7"/>
  </sheetPr>
  <dimension ref="A1:L32"/>
  <sheetViews>
    <sheetView workbookViewId="0">
      <selection sqref="A1:L6"/>
    </sheetView>
  </sheetViews>
  <sheetFormatPr defaultColWidth="8.88671875" defaultRowHeight="13.8" x14ac:dyDescent="0.3"/>
  <cols>
    <col min="1" max="1" width="14.88671875" style="6" bestFit="1" customWidth="1"/>
    <col min="2" max="2" width="10.88671875" style="6" bestFit="1" customWidth="1"/>
    <col min="3" max="3" width="44.77734375" style="10" bestFit="1" customWidth="1"/>
    <col min="4" max="4" width="10" style="6" bestFit="1" customWidth="1"/>
    <col min="5" max="6" width="11.6640625" style="6" bestFit="1" customWidth="1"/>
    <col min="7" max="7" width="11.109375" style="6" bestFit="1" customWidth="1"/>
    <col min="8" max="8" width="14.88671875" style="6" bestFit="1" customWidth="1"/>
    <col min="9" max="9" width="16" style="10" bestFit="1" customWidth="1"/>
    <col min="10" max="10" width="44.77734375" style="6" bestFit="1" customWidth="1"/>
    <col min="11" max="11" width="14.33203125" style="6" bestFit="1" customWidth="1"/>
    <col min="12" max="12" width="10.44140625" style="6" bestFit="1" customWidth="1"/>
    <col min="13" max="14" width="10.5546875" style="6" bestFit="1" customWidth="1"/>
    <col min="15" max="15" width="11.77734375" style="6" customWidth="1"/>
    <col min="16" max="16" width="10.5546875" style="6" bestFit="1" customWidth="1"/>
    <col min="17" max="17" width="13.77734375" style="6" customWidth="1"/>
    <col min="18" max="18" width="14.6640625" style="6" bestFit="1" customWidth="1"/>
    <col min="19" max="16384" width="8.88671875" style="6"/>
  </cols>
  <sheetData>
    <row r="1" spans="1:12" x14ac:dyDescent="0.3">
      <c r="A1" s="5" t="s">
        <v>5</v>
      </c>
      <c r="B1" s="5" t="s">
        <v>36</v>
      </c>
      <c r="C1" s="9" t="s">
        <v>37</v>
      </c>
      <c r="D1" s="5" t="s">
        <v>38</v>
      </c>
      <c r="E1" s="5" t="s">
        <v>39</v>
      </c>
      <c r="F1" s="5" t="s">
        <v>40</v>
      </c>
      <c r="G1" s="5" t="s">
        <v>41</v>
      </c>
      <c r="H1" s="5" t="s">
        <v>66</v>
      </c>
      <c r="I1" s="5" t="s">
        <v>30</v>
      </c>
      <c r="J1" s="9" t="s">
        <v>42</v>
      </c>
      <c r="K1" s="5" t="s">
        <v>33</v>
      </c>
      <c r="L1" s="5" t="s">
        <v>43</v>
      </c>
    </row>
    <row r="2" spans="1:12" x14ac:dyDescent="0.3">
      <c r="A2" s="18" t="s">
        <v>182</v>
      </c>
      <c r="B2" s="46" t="s">
        <v>135</v>
      </c>
      <c r="C2" s="50" t="s">
        <v>175</v>
      </c>
      <c r="D2" s="46" t="s">
        <v>14</v>
      </c>
      <c r="E2" s="46" t="s">
        <v>136</v>
      </c>
      <c r="F2" s="46" t="s">
        <v>9</v>
      </c>
      <c r="G2" s="46" t="s">
        <v>13</v>
      </c>
      <c r="H2" s="46" t="s">
        <v>214</v>
      </c>
      <c r="I2" s="46" t="s">
        <v>217</v>
      </c>
      <c r="J2" s="50" t="s">
        <v>175</v>
      </c>
      <c r="K2" s="46" t="s">
        <v>9</v>
      </c>
      <c r="L2" s="7">
        <v>45747</v>
      </c>
    </row>
    <row r="3" spans="1:12" x14ac:dyDescent="0.3">
      <c r="A3" s="18" t="s">
        <v>183</v>
      </c>
      <c r="B3" s="46" t="s">
        <v>137</v>
      </c>
      <c r="C3" s="50" t="s">
        <v>175</v>
      </c>
      <c r="D3" s="46" t="s">
        <v>14</v>
      </c>
      <c r="E3" s="46" t="s">
        <v>136</v>
      </c>
      <c r="F3" s="46" t="s">
        <v>9</v>
      </c>
      <c r="G3" s="46" t="s">
        <v>13</v>
      </c>
      <c r="H3" s="46" t="s">
        <v>214</v>
      </c>
      <c r="I3" s="46" t="s">
        <v>217</v>
      </c>
      <c r="J3" s="50" t="s">
        <v>175</v>
      </c>
      <c r="K3" s="46" t="s">
        <v>9</v>
      </c>
      <c r="L3" s="7">
        <v>45747</v>
      </c>
    </row>
    <row r="4" spans="1:12" x14ac:dyDescent="0.3">
      <c r="A4" s="18" t="s">
        <v>184</v>
      </c>
      <c r="B4" s="46" t="s">
        <v>128</v>
      </c>
      <c r="C4" s="50" t="s">
        <v>175</v>
      </c>
      <c r="D4" s="46" t="s">
        <v>14</v>
      </c>
      <c r="E4" s="46" t="s">
        <v>14</v>
      </c>
      <c r="F4" s="46" t="s">
        <v>9</v>
      </c>
      <c r="G4" s="46" t="s">
        <v>14</v>
      </c>
      <c r="H4" s="46" t="s">
        <v>214</v>
      </c>
      <c r="I4" s="46" t="s">
        <v>217</v>
      </c>
      <c r="J4" s="50" t="s">
        <v>175</v>
      </c>
      <c r="K4" s="46" t="s">
        <v>9</v>
      </c>
      <c r="L4" s="7">
        <v>45747</v>
      </c>
    </row>
    <row r="5" spans="1:12" x14ac:dyDescent="0.3">
      <c r="A5" s="18" t="s">
        <v>185</v>
      </c>
      <c r="B5" s="46" t="s">
        <v>109</v>
      </c>
      <c r="C5" s="50" t="s">
        <v>175</v>
      </c>
      <c r="D5" s="46" t="s">
        <v>13</v>
      </c>
      <c r="E5" s="46" t="s">
        <v>103</v>
      </c>
      <c r="F5" s="46" t="s">
        <v>45</v>
      </c>
      <c r="G5" s="46" t="s">
        <v>13</v>
      </c>
      <c r="H5" s="46" t="s">
        <v>215</v>
      </c>
      <c r="I5" s="46" t="s">
        <v>218</v>
      </c>
      <c r="J5" s="50" t="s">
        <v>175</v>
      </c>
      <c r="K5" s="46" t="s">
        <v>10</v>
      </c>
      <c r="L5" s="7">
        <v>45579</v>
      </c>
    </row>
    <row r="6" spans="1:12" x14ac:dyDescent="0.3">
      <c r="A6" s="18" t="s">
        <v>188</v>
      </c>
      <c r="B6" s="46" t="s">
        <v>102</v>
      </c>
      <c r="C6" s="50" t="s">
        <v>175</v>
      </c>
      <c r="D6" s="46" t="s">
        <v>13</v>
      </c>
      <c r="E6" s="46" t="s">
        <v>103</v>
      </c>
      <c r="F6" s="46" t="s">
        <v>104</v>
      </c>
      <c r="G6" s="46" t="s">
        <v>13</v>
      </c>
      <c r="H6" s="46" t="s">
        <v>216</v>
      </c>
      <c r="I6" s="46" t="s">
        <v>218</v>
      </c>
      <c r="J6" s="50" t="s">
        <v>175</v>
      </c>
      <c r="K6" s="46" t="s">
        <v>8</v>
      </c>
      <c r="L6" s="7">
        <v>45478</v>
      </c>
    </row>
    <row r="11" spans="1:12" x14ac:dyDescent="0.3">
      <c r="C11" s="11"/>
    </row>
    <row r="12" spans="1:12" x14ac:dyDescent="0.3">
      <c r="C12" s="11"/>
    </row>
    <row r="18" spans="3:3" x14ac:dyDescent="0.3">
      <c r="C18" s="6"/>
    </row>
    <row r="19" spans="3:3" x14ac:dyDescent="0.3">
      <c r="C19" s="6"/>
    </row>
    <row r="20" spans="3:3" x14ac:dyDescent="0.3">
      <c r="C20" s="6"/>
    </row>
    <row r="21" spans="3:3" x14ac:dyDescent="0.3">
      <c r="C21" s="6"/>
    </row>
    <row r="22" spans="3:3" x14ac:dyDescent="0.3">
      <c r="C22" s="6"/>
    </row>
    <row r="23" spans="3:3" x14ac:dyDescent="0.3">
      <c r="C23" s="6"/>
    </row>
    <row r="24" spans="3:3" x14ac:dyDescent="0.3">
      <c r="C24" s="6"/>
    </row>
    <row r="25" spans="3:3" x14ac:dyDescent="0.3">
      <c r="C25" s="6"/>
    </row>
    <row r="26" spans="3:3" x14ac:dyDescent="0.3">
      <c r="C26" s="6"/>
    </row>
    <row r="27" spans="3:3" x14ac:dyDescent="0.3">
      <c r="C27" s="6"/>
    </row>
    <row r="28" spans="3:3" x14ac:dyDescent="0.3">
      <c r="C28" s="6"/>
    </row>
    <row r="29" spans="3:3" x14ac:dyDescent="0.3">
      <c r="C29" s="6"/>
    </row>
    <row r="30" spans="3:3" x14ac:dyDescent="0.3">
      <c r="C30" s="6"/>
    </row>
    <row r="31" spans="3:3" x14ac:dyDescent="0.3">
      <c r="C31" s="6"/>
    </row>
    <row r="32" spans="3:3" x14ac:dyDescent="0.3">
      <c r="C32" s="6"/>
    </row>
  </sheetData>
  <phoneticPr fontId="2" type="noConversion"/>
  <conditionalFormatting sqref="G18:G1048576 G1:G14">
    <cfRule type="containsText" dxfId="85" priority="1" operator="containsText" text="Medium">
      <formula>NOT(ISERROR(SEARCH("Medium",G1)))</formula>
    </cfRule>
    <cfRule type="containsText" dxfId="84" priority="2" operator="containsText" text="Low">
      <formula>NOT(ISERROR(SEARCH("Low",G1)))</formula>
    </cfRule>
    <cfRule type="containsText" dxfId="83" priority="3" operator="containsText" text="High">
      <formula>NOT(ISERROR(SEARCH("High",G1)))</formula>
    </cfRule>
  </conditionalFormatting>
  <pageMargins left="0.7" right="0.7" top="0.75" bottom="0.75" header="0.3" footer="0.3"/>
  <pageSetup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A32CC-C3DB-4EC0-94EB-092FD84F3867}">
  <sheetPr codeName="Sheet7">
    <tabColor rgb="FFC00000"/>
  </sheetPr>
  <dimension ref="A1:N56"/>
  <sheetViews>
    <sheetView zoomScaleNormal="100" workbookViewId="0">
      <selection sqref="A1:J25"/>
    </sheetView>
  </sheetViews>
  <sheetFormatPr defaultColWidth="8.88671875" defaultRowHeight="13.8" outlineLevelCol="1" x14ac:dyDescent="0.3"/>
  <cols>
    <col min="1" max="1" width="15" style="6" bestFit="1" customWidth="1"/>
    <col min="2" max="2" width="10.5546875" style="6" bestFit="1" customWidth="1"/>
    <col min="3" max="3" width="44.77734375" style="10" bestFit="1" customWidth="1"/>
    <col min="4" max="4" width="20.88671875" style="6" bestFit="1" customWidth="1"/>
    <col min="5" max="5" width="11.109375" style="6" bestFit="1" customWidth="1"/>
    <col min="6" max="6" width="10.44140625" style="6" bestFit="1" customWidth="1"/>
    <col min="7" max="7" width="7.33203125" style="6" bestFit="1" customWidth="1"/>
    <col min="8" max="8" width="17.88671875" style="10" bestFit="1" customWidth="1"/>
    <col min="9" max="9" width="14.21875" style="10" bestFit="1" customWidth="1"/>
    <col min="10" max="10" width="44.77734375" style="10" bestFit="1" customWidth="1"/>
    <col min="11" max="11" width="80.77734375" style="10" bestFit="1" customWidth="1"/>
    <col min="12" max="12" width="7.33203125" style="6" bestFit="1" customWidth="1"/>
    <col min="13" max="13" width="14.109375" style="6" bestFit="1" customWidth="1"/>
    <col min="14" max="14" width="13.6640625" style="6" customWidth="1" outlineLevel="1"/>
    <col min="15" max="15" width="11" style="6" bestFit="1" customWidth="1"/>
    <col min="16" max="16384" width="8.88671875" style="6"/>
  </cols>
  <sheetData>
    <row r="1" spans="1:11" x14ac:dyDescent="0.3">
      <c r="A1" s="5" t="s">
        <v>5</v>
      </c>
      <c r="B1" s="5" t="s">
        <v>36</v>
      </c>
      <c r="C1" s="9" t="s">
        <v>29</v>
      </c>
      <c r="D1" s="5" t="s">
        <v>38</v>
      </c>
      <c r="E1" s="5" t="s">
        <v>46</v>
      </c>
      <c r="F1" s="5" t="s">
        <v>43</v>
      </c>
      <c r="G1" s="5" t="s">
        <v>33</v>
      </c>
      <c r="H1" s="5" t="s">
        <v>65</v>
      </c>
      <c r="I1" s="5" t="s">
        <v>30</v>
      </c>
      <c r="J1" s="9" t="s">
        <v>47</v>
      </c>
      <c r="K1" s="6"/>
    </row>
    <row r="2" spans="1:11" x14ac:dyDescent="0.3">
      <c r="A2" s="20" t="s">
        <v>176</v>
      </c>
      <c r="B2" s="6" t="s">
        <v>86</v>
      </c>
      <c r="C2" s="50" t="s">
        <v>175</v>
      </c>
      <c r="D2" s="6" t="s">
        <v>87</v>
      </c>
      <c r="E2" s="6" t="s">
        <v>17</v>
      </c>
      <c r="F2" s="7"/>
      <c r="G2" s="6" t="s">
        <v>8</v>
      </c>
      <c r="H2" s="6" t="s">
        <v>211</v>
      </c>
      <c r="I2" s="18" t="s">
        <v>207</v>
      </c>
      <c r="J2" s="50" t="s">
        <v>175</v>
      </c>
      <c r="K2" s="6"/>
    </row>
    <row r="3" spans="1:11" x14ac:dyDescent="0.3">
      <c r="A3" s="20" t="s">
        <v>177</v>
      </c>
      <c r="B3" s="6" t="s">
        <v>88</v>
      </c>
      <c r="C3" s="50" t="s">
        <v>175</v>
      </c>
      <c r="D3" s="6" t="s">
        <v>87</v>
      </c>
      <c r="E3" s="6" t="s">
        <v>17</v>
      </c>
      <c r="F3" s="7"/>
      <c r="G3" s="6" t="s">
        <v>8</v>
      </c>
      <c r="H3" s="6" t="s">
        <v>211</v>
      </c>
      <c r="I3" s="18" t="s">
        <v>208</v>
      </c>
      <c r="J3" s="50" t="s">
        <v>175</v>
      </c>
      <c r="K3" s="6"/>
    </row>
    <row r="4" spans="1:11" x14ac:dyDescent="0.3">
      <c r="A4" s="20" t="s">
        <v>178</v>
      </c>
      <c r="B4" s="6" t="s">
        <v>89</v>
      </c>
      <c r="C4" s="50" t="s">
        <v>175</v>
      </c>
      <c r="D4" s="6" t="s">
        <v>87</v>
      </c>
      <c r="E4" s="6" t="s">
        <v>17</v>
      </c>
      <c r="F4" s="7"/>
      <c r="G4" s="6" t="s">
        <v>8</v>
      </c>
      <c r="H4" s="6" t="s">
        <v>211</v>
      </c>
      <c r="I4" s="18" t="s">
        <v>209</v>
      </c>
      <c r="J4" s="50" t="s">
        <v>175</v>
      </c>
      <c r="K4" s="6"/>
    </row>
    <row r="5" spans="1:11" x14ac:dyDescent="0.3">
      <c r="A5" s="20" t="s">
        <v>179</v>
      </c>
      <c r="B5" s="6" t="s">
        <v>90</v>
      </c>
      <c r="C5" s="50" t="s">
        <v>175</v>
      </c>
      <c r="D5" s="6" t="s">
        <v>91</v>
      </c>
      <c r="E5" s="6" t="s">
        <v>17</v>
      </c>
      <c r="F5" s="7"/>
      <c r="G5" s="6" t="s">
        <v>8</v>
      </c>
      <c r="H5" s="6" t="s">
        <v>212</v>
      </c>
      <c r="I5" s="18" t="s">
        <v>209</v>
      </c>
      <c r="J5" s="50" t="s">
        <v>175</v>
      </c>
      <c r="K5" s="6"/>
    </row>
    <row r="6" spans="1:11" x14ac:dyDescent="0.3">
      <c r="A6" s="20" t="s">
        <v>180</v>
      </c>
      <c r="B6" s="6" t="s">
        <v>92</v>
      </c>
      <c r="C6" s="50" t="s">
        <v>175</v>
      </c>
      <c r="D6" s="6" t="s">
        <v>18</v>
      </c>
      <c r="E6" s="6" t="s">
        <v>55</v>
      </c>
      <c r="F6" s="7"/>
      <c r="G6" s="6" t="s">
        <v>8</v>
      </c>
      <c r="H6" s="6" t="s">
        <v>212</v>
      </c>
      <c r="I6" s="18" t="s">
        <v>209</v>
      </c>
      <c r="J6" s="50" t="s">
        <v>175</v>
      </c>
      <c r="K6" s="6"/>
    </row>
    <row r="7" spans="1:11" x14ac:dyDescent="0.3">
      <c r="A7" s="20" t="s">
        <v>181</v>
      </c>
      <c r="B7" s="6" t="s">
        <v>93</v>
      </c>
      <c r="C7" s="50" t="s">
        <v>175</v>
      </c>
      <c r="D7" s="6" t="s">
        <v>18</v>
      </c>
      <c r="E7" s="6" t="s">
        <v>55</v>
      </c>
      <c r="F7" s="7"/>
      <c r="G7" s="6" t="s">
        <v>8</v>
      </c>
      <c r="H7" s="6" t="s">
        <v>212</v>
      </c>
      <c r="I7" s="18" t="s">
        <v>207</v>
      </c>
      <c r="J7" s="50" t="s">
        <v>175</v>
      </c>
    </row>
    <row r="8" spans="1:11" x14ac:dyDescent="0.3">
      <c r="A8" s="20" t="s">
        <v>182</v>
      </c>
      <c r="B8" s="6" t="s">
        <v>94</v>
      </c>
      <c r="C8" s="50" t="s">
        <v>175</v>
      </c>
      <c r="D8" s="6" t="s">
        <v>87</v>
      </c>
      <c r="E8" s="6" t="s">
        <v>17</v>
      </c>
      <c r="F8" s="7">
        <v>45657</v>
      </c>
      <c r="G8" s="6" t="s">
        <v>8</v>
      </c>
      <c r="H8" s="6" t="s">
        <v>214</v>
      </c>
      <c r="I8" s="18" t="s">
        <v>210</v>
      </c>
      <c r="J8" s="50" t="s">
        <v>175</v>
      </c>
    </row>
    <row r="9" spans="1:11" x14ac:dyDescent="0.3">
      <c r="A9" s="20" t="s">
        <v>183</v>
      </c>
      <c r="B9" s="6" t="s">
        <v>95</v>
      </c>
      <c r="C9" s="50" t="s">
        <v>175</v>
      </c>
      <c r="D9" s="6" t="s">
        <v>87</v>
      </c>
      <c r="E9" s="6" t="s">
        <v>17</v>
      </c>
      <c r="F9" s="7">
        <v>45504</v>
      </c>
      <c r="G9" s="6" t="s">
        <v>8</v>
      </c>
      <c r="H9" s="6" t="s">
        <v>213</v>
      </c>
      <c r="I9" s="18" t="s">
        <v>208</v>
      </c>
      <c r="J9" s="50" t="s">
        <v>175</v>
      </c>
    </row>
    <row r="10" spans="1:11" x14ac:dyDescent="0.3">
      <c r="A10" s="20" t="s">
        <v>184</v>
      </c>
      <c r="B10" s="6" t="s">
        <v>96</v>
      </c>
      <c r="C10" s="50" t="s">
        <v>175</v>
      </c>
      <c r="D10" s="6" t="s">
        <v>87</v>
      </c>
      <c r="E10" s="6" t="s">
        <v>17</v>
      </c>
      <c r="F10" s="7"/>
      <c r="G10" s="6" t="s">
        <v>8</v>
      </c>
      <c r="H10" s="6" t="s">
        <v>213</v>
      </c>
      <c r="I10" s="18" t="s">
        <v>207</v>
      </c>
      <c r="J10" s="50" t="s">
        <v>175</v>
      </c>
    </row>
    <row r="11" spans="1:11" x14ac:dyDescent="0.3">
      <c r="A11" s="20" t="s">
        <v>185</v>
      </c>
      <c r="B11" s="6" t="s">
        <v>97</v>
      </c>
      <c r="C11" s="50" t="s">
        <v>175</v>
      </c>
      <c r="D11" s="6" t="s">
        <v>18</v>
      </c>
      <c r="E11" s="6" t="s">
        <v>55</v>
      </c>
      <c r="F11" s="7"/>
      <c r="G11" s="6" t="s">
        <v>8</v>
      </c>
      <c r="H11" s="6" t="s">
        <v>213</v>
      </c>
      <c r="I11" s="18" t="s">
        <v>207</v>
      </c>
      <c r="J11" s="50" t="s">
        <v>175</v>
      </c>
    </row>
    <row r="12" spans="1:11" x14ac:dyDescent="0.3">
      <c r="A12" s="20" t="s">
        <v>186</v>
      </c>
      <c r="B12" s="6" t="s">
        <v>98</v>
      </c>
      <c r="C12" s="50" t="s">
        <v>175</v>
      </c>
      <c r="D12" s="6" t="s">
        <v>18</v>
      </c>
      <c r="E12" s="6" t="s">
        <v>55</v>
      </c>
      <c r="F12" s="7"/>
      <c r="G12" s="6" t="s">
        <v>8</v>
      </c>
      <c r="H12" s="6" t="s">
        <v>213</v>
      </c>
      <c r="I12" s="18" t="s">
        <v>210</v>
      </c>
      <c r="J12" s="50" t="s">
        <v>175</v>
      </c>
    </row>
    <row r="13" spans="1:11" x14ac:dyDescent="0.3">
      <c r="A13" s="20" t="s">
        <v>187</v>
      </c>
      <c r="B13" s="6" t="s">
        <v>111</v>
      </c>
      <c r="C13" s="50" t="s">
        <v>175</v>
      </c>
      <c r="D13" s="6" t="s">
        <v>87</v>
      </c>
      <c r="E13" s="6" t="s">
        <v>17</v>
      </c>
      <c r="F13" s="7"/>
      <c r="G13" s="6" t="s">
        <v>8</v>
      </c>
      <c r="H13" s="6" t="s">
        <v>212</v>
      </c>
      <c r="I13" s="18" t="s">
        <v>210</v>
      </c>
      <c r="J13" s="50" t="s">
        <v>175</v>
      </c>
    </row>
    <row r="14" spans="1:11" x14ac:dyDescent="0.3">
      <c r="A14" s="20" t="s">
        <v>188</v>
      </c>
      <c r="B14" s="6" t="s">
        <v>112</v>
      </c>
      <c r="C14" s="50" t="s">
        <v>175</v>
      </c>
      <c r="D14" s="6" t="s">
        <v>87</v>
      </c>
      <c r="E14" s="6" t="s">
        <v>17</v>
      </c>
      <c r="F14" s="7"/>
      <c r="G14" s="6" t="s">
        <v>8</v>
      </c>
      <c r="H14" s="6" t="s">
        <v>212</v>
      </c>
      <c r="I14" s="18" t="s">
        <v>207</v>
      </c>
      <c r="J14" s="50" t="s">
        <v>175</v>
      </c>
    </row>
    <row r="15" spans="1:11" x14ac:dyDescent="0.3">
      <c r="A15" s="20" t="s">
        <v>189</v>
      </c>
      <c r="B15" s="6" t="s">
        <v>115</v>
      </c>
      <c r="C15" s="50" t="s">
        <v>175</v>
      </c>
      <c r="D15" s="6" t="s">
        <v>105</v>
      </c>
      <c r="E15" s="6" t="s">
        <v>17</v>
      </c>
      <c r="F15" s="7"/>
      <c r="G15" s="6" t="s">
        <v>8</v>
      </c>
      <c r="H15" s="6" t="s">
        <v>211</v>
      </c>
      <c r="I15" s="18" t="s">
        <v>208</v>
      </c>
      <c r="J15" s="50" t="s">
        <v>175</v>
      </c>
    </row>
    <row r="16" spans="1:11" x14ac:dyDescent="0.3">
      <c r="A16" s="20" t="s">
        <v>190</v>
      </c>
      <c r="B16" s="6" t="s">
        <v>116</v>
      </c>
      <c r="C16" s="50" t="s">
        <v>175</v>
      </c>
      <c r="D16" s="6" t="s">
        <v>105</v>
      </c>
      <c r="E16" s="6" t="s">
        <v>17</v>
      </c>
      <c r="F16" s="7"/>
      <c r="G16" s="6" t="s">
        <v>8</v>
      </c>
      <c r="H16" s="6" t="s">
        <v>211</v>
      </c>
      <c r="I16" s="18" t="s">
        <v>209</v>
      </c>
      <c r="J16" s="50" t="s">
        <v>175</v>
      </c>
    </row>
    <row r="17" spans="1:11" x14ac:dyDescent="0.3">
      <c r="A17" s="20" t="s">
        <v>191</v>
      </c>
      <c r="B17" s="6" t="s">
        <v>117</v>
      </c>
      <c r="C17" s="50" t="s">
        <v>175</v>
      </c>
      <c r="D17" s="6" t="s">
        <v>105</v>
      </c>
      <c r="E17" s="6" t="s">
        <v>54</v>
      </c>
      <c r="F17" s="7"/>
      <c r="G17" s="6" t="s">
        <v>8</v>
      </c>
      <c r="H17" s="6" t="s">
        <v>212</v>
      </c>
      <c r="I17" s="18" t="s">
        <v>209</v>
      </c>
      <c r="J17" s="50" t="s">
        <v>175</v>
      </c>
    </row>
    <row r="18" spans="1:11" x14ac:dyDescent="0.3">
      <c r="A18" s="20" t="s">
        <v>192</v>
      </c>
      <c r="B18" s="6" t="s">
        <v>118</v>
      </c>
      <c r="C18" s="50" t="s">
        <v>175</v>
      </c>
      <c r="D18" s="6" t="s">
        <v>105</v>
      </c>
      <c r="E18" s="6" t="s">
        <v>54</v>
      </c>
      <c r="F18" s="7"/>
      <c r="G18" s="6" t="s">
        <v>8</v>
      </c>
      <c r="H18" s="6" t="s">
        <v>212</v>
      </c>
      <c r="I18" s="18" t="s">
        <v>209</v>
      </c>
      <c r="J18" s="50" t="s">
        <v>175</v>
      </c>
    </row>
    <row r="19" spans="1:11" x14ac:dyDescent="0.3">
      <c r="A19" s="20" t="s">
        <v>193</v>
      </c>
      <c r="B19" s="6" t="s">
        <v>124</v>
      </c>
      <c r="C19" s="50" t="s">
        <v>175</v>
      </c>
      <c r="D19" s="6" t="s">
        <v>87</v>
      </c>
      <c r="E19" s="6" t="s">
        <v>55</v>
      </c>
      <c r="F19" s="7"/>
      <c r="G19" s="6" t="s">
        <v>8</v>
      </c>
      <c r="H19" s="6" t="s">
        <v>212</v>
      </c>
      <c r="I19" s="18" t="s">
        <v>207</v>
      </c>
      <c r="J19" s="50" t="s">
        <v>175</v>
      </c>
    </row>
    <row r="20" spans="1:11" x14ac:dyDescent="0.3">
      <c r="A20" s="20"/>
      <c r="B20" s="46"/>
      <c r="C20" s="47"/>
      <c r="D20" s="46"/>
      <c r="E20" s="46"/>
      <c r="F20" s="7"/>
      <c r="G20" s="46"/>
      <c r="H20" s="46"/>
      <c r="I20" s="18"/>
      <c r="J20" s="47"/>
    </row>
    <row r="21" spans="1:11" x14ac:dyDescent="0.3">
      <c r="A21" s="20"/>
      <c r="B21" s="46"/>
      <c r="C21" s="47"/>
      <c r="D21" s="46"/>
      <c r="E21" s="46"/>
      <c r="F21" s="7"/>
      <c r="G21" s="46"/>
      <c r="H21" s="46"/>
      <c r="I21" s="18"/>
      <c r="J21" s="47"/>
    </row>
    <row r="22" spans="1:11" x14ac:dyDescent="0.3">
      <c r="A22" s="20"/>
      <c r="B22" s="46"/>
      <c r="C22" s="47"/>
      <c r="D22" s="46"/>
      <c r="E22" s="46"/>
      <c r="F22" s="7"/>
      <c r="G22" s="46"/>
      <c r="H22" s="46"/>
      <c r="I22" s="18"/>
      <c r="J22" s="47"/>
    </row>
    <row r="23" spans="1:11" x14ac:dyDescent="0.3">
      <c r="A23" s="20"/>
      <c r="B23" s="46"/>
      <c r="C23" s="47"/>
      <c r="D23" s="46"/>
      <c r="E23" s="46"/>
      <c r="F23" s="7"/>
      <c r="G23" s="46"/>
      <c r="H23" s="46"/>
      <c r="I23" s="18"/>
      <c r="J23" s="47"/>
      <c r="K23" s="6"/>
    </row>
    <row r="24" spans="1:11" x14ac:dyDescent="0.3">
      <c r="A24" s="20"/>
      <c r="B24" s="46"/>
      <c r="C24" s="47"/>
      <c r="D24" s="46"/>
      <c r="E24" s="46"/>
      <c r="F24" s="7"/>
      <c r="G24" s="46"/>
      <c r="H24" s="46"/>
      <c r="I24" s="18"/>
      <c r="J24" s="47"/>
      <c r="K24" s="6"/>
    </row>
    <row r="25" spans="1:11" x14ac:dyDescent="0.3">
      <c r="A25" s="20"/>
      <c r="B25" s="46"/>
      <c r="C25" s="47"/>
      <c r="D25" s="46"/>
      <c r="E25" s="46"/>
      <c r="F25" s="7"/>
      <c r="G25" s="46"/>
      <c r="H25" s="46"/>
      <c r="I25" s="18"/>
      <c r="J25" s="47"/>
      <c r="K25" s="6"/>
    </row>
    <row r="26" spans="1:11" x14ac:dyDescent="0.3">
      <c r="K26" s="6"/>
    </row>
    <row r="27" spans="1:11" x14ac:dyDescent="0.3">
      <c r="K27" s="6"/>
    </row>
    <row r="28" spans="1:11" x14ac:dyDescent="0.3">
      <c r="K28" s="6"/>
    </row>
    <row r="29" spans="1:11" x14ac:dyDescent="0.3">
      <c r="K29" s="6"/>
    </row>
    <row r="30" spans="1:11" x14ac:dyDescent="0.3">
      <c r="K30" s="6"/>
    </row>
    <row r="31" spans="1:11" x14ac:dyDescent="0.3">
      <c r="K31" s="6"/>
    </row>
    <row r="32" spans="1:11" x14ac:dyDescent="0.3">
      <c r="K32" s="6"/>
    </row>
    <row r="33" spans="8:11" x14ac:dyDescent="0.3">
      <c r="K33" s="6"/>
    </row>
    <row r="34" spans="8:11" x14ac:dyDescent="0.3">
      <c r="K34" s="6"/>
    </row>
    <row r="35" spans="8:11" x14ac:dyDescent="0.3">
      <c r="K35" s="6"/>
    </row>
    <row r="36" spans="8:11" x14ac:dyDescent="0.3">
      <c r="K36" s="6"/>
    </row>
    <row r="37" spans="8:11" x14ac:dyDescent="0.3">
      <c r="K37" s="6"/>
    </row>
    <row r="42" spans="8:11" x14ac:dyDescent="0.3">
      <c r="H42" s="6"/>
      <c r="I42" s="6"/>
      <c r="J42" s="6"/>
    </row>
    <row r="43" spans="8:11" x14ac:dyDescent="0.3">
      <c r="H43" s="6"/>
      <c r="I43" s="6"/>
      <c r="J43" s="6"/>
    </row>
    <row r="44" spans="8:11" x14ac:dyDescent="0.3">
      <c r="H44" s="6"/>
      <c r="I44" s="6"/>
      <c r="J44" s="6"/>
    </row>
    <row r="45" spans="8:11" x14ac:dyDescent="0.3">
      <c r="H45" s="6"/>
      <c r="I45" s="6"/>
      <c r="J45" s="6"/>
    </row>
    <row r="46" spans="8:11" x14ac:dyDescent="0.3">
      <c r="H46" s="6"/>
      <c r="I46" s="6"/>
      <c r="J46" s="6"/>
    </row>
    <row r="47" spans="8:11" x14ac:dyDescent="0.3">
      <c r="H47" s="6"/>
      <c r="I47" s="6"/>
      <c r="J47" s="6"/>
    </row>
    <row r="48" spans="8:11" x14ac:dyDescent="0.3">
      <c r="H48" s="6"/>
      <c r="I48" s="6"/>
      <c r="J48" s="6"/>
    </row>
    <row r="49" spans="8:10" x14ac:dyDescent="0.3">
      <c r="H49" s="6"/>
      <c r="I49" s="6"/>
      <c r="J49" s="6"/>
    </row>
    <row r="50" spans="8:10" x14ac:dyDescent="0.3">
      <c r="H50" s="6"/>
      <c r="I50" s="6"/>
      <c r="J50" s="6"/>
    </row>
    <row r="51" spans="8:10" x14ac:dyDescent="0.3">
      <c r="H51" s="6"/>
      <c r="I51" s="6"/>
      <c r="J51" s="6"/>
    </row>
    <row r="52" spans="8:10" x14ac:dyDescent="0.3">
      <c r="H52" s="6"/>
      <c r="I52" s="6"/>
      <c r="J52" s="6"/>
    </row>
    <row r="53" spans="8:10" x14ac:dyDescent="0.3">
      <c r="H53" s="6"/>
      <c r="I53" s="6"/>
      <c r="J53" s="6"/>
    </row>
    <row r="54" spans="8:10" x14ac:dyDescent="0.3">
      <c r="H54" s="6"/>
      <c r="I54" s="6"/>
      <c r="J54" s="6"/>
    </row>
    <row r="55" spans="8:10" x14ac:dyDescent="0.3">
      <c r="H55" s="6"/>
      <c r="I55" s="6"/>
      <c r="J55" s="6"/>
    </row>
    <row r="56" spans="8:10" x14ac:dyDescent="0.3">
      <c r="H56" s="6"/>
      <c r="I56" s="6"/>
      <c r="J56" s="6"/>
    </row>
  </sheetData>
  <phoneticPr fontId="2" type="noConversion"/>
  <conditionalFormatting sqref="D64:D1048576 D1:D39">
    <cfRule type="containsText" dxfId="67" priority="4" operator="containsText" text="Significant">
      <formula>NOT(ISERROR(SEARCH("Significant",D1)))</formula>
    </cfRule>
    <cfRule type="containsText" dxfId="66" priority="5" operator="containsText" text="Moderate">
      <formula>NOT(ISERROR(SEARCH("Moderate",D1)))</formula>
    </cfRule>
  </conditionalFormatting>
  <conditionalFormatting sqref="D1:D1048576">
    <cfRule type="containsText" dxfId="65" priority="3" operator="containsText" text="Extensive">
      <formula>NOT(ISERROR(SEARCH("Extensive",D1)))</formula>
    </cfRule>
  </conditionalFormatting>
  <conditionalFormatting sqref="I2:I25">
    <cfRule type="containsText" dxfId="64" priority="1" operator="containsText" text="Moderate">
      <formula>NOT(ISERROR(SEARCH("Moderate",I2)))</formula>
    </cfRule>
    <cfRule type="containsText" dxfId="63" priority="2" operator="containsText" text="Minor">
      <formula>NOT(ISERROR(SEARCH("Minor",I2)))</formula>
    </cfRule>
  </conditionalFormatting>
  <pageMargins left="0.7" right="0.7" top="0.75" bottom="0.75" header="0.3" footer="0.3"/>
  <pageSetup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92A63-4DB6-4DA6-B41B-45EA77DEC12F}">
  <sheetPr codeName="Sheet8">
    <tabColor theme="5"/>
  </sheetPr>
  <dimension ref="A1:H13"/>
  <sheetViews>
    <sheetView workbookViewId="0">
      <selection sqref="A1:H13"/>
    </sheetView>
  </sheetViews>
  <sheetFormatPr defaultRowHeight="13.8" x14ac:dyDescent="0.3"/>
  <cols>
    <col min="1" max="1" width="11" style="6" bestFit="1" customWidth="1"/>
    <col min="2" max="2" width="44.77734375" style="6" bestFit="1" customWidth="1"/>
    <col min="3" max="3" width="17.88671875" style="10" bestFit="1" customWidth="1"/>
    <col min="4" max="4" width="11.88671875" style="7" bestFit="1" customWidth="1"/>
    <col min="5" max="5" width="19.33203125" style="7" bestFit="1" customWidth="1"/>
    <col min="6" max="6" width="12" style="7" bestFit="1" customWidth="1"/>
    <col min="7" max="7" width="7.6640625" style="7" bestFit="1" customWidth="1"/>
    <col min="8" max="8" width="14.109375" style="7" bestFit="1" customWidth="1"/>
    <col min="9" max="9" width="14.109375" style="6" bestFit="1" customWidth="1"/>
    <col min="10" max="16384" width="8.88671875" style="6"/>
  </cols>
  <sheetData>
    <row r="1" spans="1:8" x14ac:dyDescent="0.3">
      <c r="A1" s="5" t="s">
        <v>36</v>
      </c>
      <c r="B1" s="5" t="s">
        <v>59</v>
      </c>
      <c r="C1" s="5" t="s">
        <v>38</v>
      </c>
      <c r="D1" s="5" t="s">
        <v>46</v>
      </c>
      <c r="E1" s="5" t="s">
        <v>30</v>
      </c>
      <c r="F1" s="5" t="s">
        <v>43</v>
      </c>
      <c r="G1" s="5" t="s">
        <v>33</v>
      </c>
      <c r="H1" s="5" t="s">
        <v>48</v>
      </c>
    </row>
    <row r="2" spans="1:8" x14ac:dyDescent="0.3">
      <c r="A2" s="6" t="s">
        <v>152</v>
      </c>
      <c r="B2" s="47" t="s">
        <v>175</v>
      </c>
      <c r="C2" s="6" t="s">
        <v>105</v>
      </c>
      <c r="D2" s="20" t="s">
        <v>54</v>
      </c>
      <c r="E2" s="20" t="s">
        <v>217</v>
      </c>
      <c r="F2" s="51">
        <v>45672.708333333336</v>
      </c>
      <c r="G2" s="20" t="s">
        <v>8</v>
      </c>
      <c r="H2" s="6" t="s">
        <v>203</v>
      </c>
    </row>
    <row r="3" spans="1:8" x14ac:dyDescent="0.3">
      <c r="A3" s="6" t="s">
        <v>153</v>
      </c>
      <c r="B3" s="47" t="s">
        <v>175</v>
      </c>
      <c r="C3" s="6" t="s">
        <v>105</v>
      </c>
      <c r="D3" s="20" t="s">
        <v>54</v>
      </c>
      <c r="E3" s="20" t="s">
        <v>218</v>
      </c>
      <c r="F3" s="51">
        <v>45672.708333333336</v>
      </c>
      <c r="G3" s="20" t="s">
        <v>8</v>
      </c>
      <c r="H3" s="6" t="s">
        <v>203</v>
      </c>
    </row>
    <row r="4" spans="1:8" x14ac:dyDescent="0.3">
      <c r="A4" s="6" t="s">
        <v>154</v>
      </c>
      <c r="B4" s="47" t="s">
        <v>175</v>
      </c>
      <c r="C4" s="6" t="s">
        <v>105</v>
      </c>
      <c r="D4" s="20" t="s">
        <v>54</v>
      </c>
      <c r="E4" s="20" t="s">
        <v>219</v>
      </c>
      <c r="F4" s="51">
        <v>45672.708333333336</v>
      </c>
      <c r="G4" s="20" t="s">
        <v>8</v>
      </c>
      <c r="H4" s="6" t="s">
        <v>203</v>
      </c>
    </row>
    <row r="5" spans="1:8" x14ac:dyDescent="0.3">
      <c r="A5" s="6" t="s">
        <v>155</v>
      </c>
      <c r="B5" s="47" t="s">
        <v>175</v>
      </c>
      <c r="C5" s="6" t="s">
        <v>105</v>
      </c>
      <c r="D5" s="20" t="s">
        <v>54</v>
      </c>
      <c r="E5" s="20" t="s">
        <v>219</v>
      </c>
      <c r="F5" s="51">
        <v>45672.708333333336</v>
      </c>
      <c r="G5" s="20" t="s">
        <v>8</v>
      </c>
      <c r="H5" s="6" t="s">
        <v>203</v>
      </c>
    </row>
    <row r="6" spans="1:8" x14ac:dyDescent="0.3">
      <c r="A6" s="6" t="s">
        <v>156</v>
      </c>
      <c r="B6" s="47" t="s">
        <v>175</v>
      </c>
      <c r="C6" s="6" t="s">
        <v>105</v>
      </c>
      <c r="D6" s="20" t="s">
        <v>54</v>
      </c>
      <c r="E6" s="20" t="s">
        <v>219</v>
      </c>
      <c r="F6" s="51">
        <v>45676.708333333336</v>
      </c>
      <c r="G6" s="20" t="s">
        <v>8</v>
      </c>
      <c r="H6" s="6" t="s">
        <v>203</v>
      </c>
    </row>
    <row r="7" spans="1:8" x14ac:dyDescent="0.3">
      <c r="A7" s="6" t="s">
        <v>157</v>
      </c>
      <c r="B7" s="47" t="s">
        <v>175</v>
      </c>
      <c r="C7" s="6" t="s">
        <v>105</v>
      </c>
      <c r="D7" s="20" t="s">
        <v>54</v>
      </c>
      <c r="E7" s="20" t="s">
        <v>217</v>
      </c>
      <c r="F7" s="51"/>
      <c r="G7" s="20" t="s">
        <v>8</v>
      </c>
      <c r="H7" s="6" t="s">
        <v>203</v>
      </c>
    </row>
    <row r="8" spans="1:8" x14ac:dyDescent="0.3">
      <c r="A8" s="6" t="s">
        <v>106</v>
      </c>
      <c r="B8" s="47" t="s">
        <v>175</v>
      </c>
      <c r="C8" s="6" t="s">
        <v>18</v>
      </c>
      <c r="D8" s="20" t="s">
        <v>55</v>
      </c>
      <c r="E8" s="20" t="s">
        <v>220</v>
      </c>
      <c r="F8" s="51">
        <v>45422.541759259257</v>
      </c>
      <c r="G8" s="20" t="s">
        <v>8</v>
      </c>
      <c r="H8" s="6" t="s">
        <v>204</v>
      </c>
    </row>
    <row r="9" spans="1:8" x14ac:dyDescent="0.3">
      <c r="A9" s="6" t="s">
        <v>107</v>
      </c>
      <c r="B9" s="47" t="s">
        <v>175</v>
      </c>
      <c r="C9" s="6" t="s">
        <v>105</v>
      </c>
      <c r="D9" s="20" t="s">
        <v>54</v>
      </c>
      <c r="E9" s="20" t="s">
        <v>218</v>
      </c>
      <c r="F9" s="51">
        <v>45450.367025462961</v>
      </c>
      <c r="G9" s="20" t="s">
        <v>8</v>
      </c>
      <c r="H9" s="6" t="s">
        <v>205</v>
      </c>
    </row>
    <row r="10" spans="1:8" x14ac:dyDescent="0.3">
      <c r="A10" s="6" t="s">
        <v>108</v>
      </c>
      <c r="B10" s="47" t="s">
        <v>175</v>
      </c>
      <c r="C10" s="6" t="s">
        <v>18</v>
      </c>
      <c r="D10" s="20" t="s">
        <v>55</v>
      </c>
      <c r="E10" s="20" t="s">
        <v>217</v>
      </c>
      <c r="F10" s="51"/>
      <c r="G10" s="20" t="s">
        <v>8</v>
      </c>
      <c r="H10" s="6" t="s">
        <v>206</v>
      </c>
    </row>
    <row r="11" spans="1:8" x14ac:dyDescent="0.3">
      <c r="A11" s="6" t="s">
        <v>110</v>
      </c>
      <c r="B11" s="47" t="s">
        <v>175</v>
      </c>
      <c r="C11" s="6" t="s">
        <v>105</v>
      </c>
      <c r="D11" s="20" t="s">
        <v>54</v>
      </c>
      <c r="E11" s="20" t="s">
        <v>217</v>
      </c>
      <c r="F11" s="51">
        <v>45583.388483796298</v>
      </c>
      <c r="G11" s="20" t="s">
        <v>8</v>
      </c>
      <c r="H11" s="6" t="s">
        <v>204</v>
      </c>
    </row>
    <row r="12" spans="1:8" x14ac:dyDescent="0.3">
      <c r="A12" s="6" t="s">
        <v>125</v>
      </c>
      <c r="B12" s="47" t="s">
        <v>175</v>
      </c>
      <c r="C12" s="6" t="s">
        <v>105</v>
      </c>
      <c r="D12" s="20" t="s">
        <v>55</v>
      </c>
      <c r="E12" s="20" t="s">
        <v>220</v>
      </c>
      <c r="F12" s="51">
        <v>45688.488402777781</v>
      </c>
      <c r="G12" s="20" t="s">
        <v>8</v>
      </c>
      <c r="H12" s="6" t="s">
        <v>205</v>
      </c>
    </row>
    <row r="13" spans="1:8" x14ac:dyDescent="0.3">
      <c r="A13" s="6" t="s">
        <v>134</v>
      </c>
      <c r="B13" s="47" t="s">
        <v>175</v>
      </c>
      <c r="C13" s="6" t="s">
        <v>105</v>
      </c>
      <c r="D13" s="20" t="s">
        <v>54</v>
      </c>
      <c r="E13" s="20" t="s">
        <v>220</v>
      </c>
      <c r="F13" s="51">
        <v>45737.396597222221</v>
      </c>
      <c r="G13" s="20" t="s">
        <v>8</v>
      </c>
      <c r="H13" s="6" t="s">
        <v>204</v>
      </c>
    </row>
  </sheetData>
  <phoneticPr fontId="2" type="noConversion"/>
  <conditionalFormatting sqref="C1:G13">
    <cfRule type="containsText" dxfId="49" priority="2" operator="containsText" text="Moderate">
      <formula>NOT(ISERROR(SEARCH("Moderate",C1)))</formula>
    </cfRule>
    <cfRule type="containsText" dxfId="48" priority="3" operator="containsText" text="Minor">
      <formula>NOT(ISERROR(SEARCH("Minor",C1)))</formula>
    </cfRule>
  </conditionalFormatting>
  <conditionalFormatting sqref="D1:D1048576">
    <cfRule type="cellIs" dxfId="47" priority="1" operator="equal">
      <formula>"4 - Low"</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C12D4-209D-47E2-AC22-CFB8C2B2387F}">
  <sheetPr codeName="Sheet4"/>
  <dimension ref="A1:W25"/>
  <sheetViews>
    <sheetView workbookViewId="0">
      <selection activeCell="E11" sqref="E11"/>
    </sheetView>
  </sheetViews>
  <sheetFormatPr defaultRowHeight="13.8" outlineLevelCol="1" x14ac:dyDescent="0.3"/>
  <cols>
    <col min="1" max="1" width="17.6640625" style="20" bestFit="1" customWidth="1"/>
    <col min="2" max="2" width="44.77734375" style="20" bestFit="1" customWidth="1"/>
    <col min="3" max="3" width="8.77734375" style="54" bestFit="1" customWidth="1"/>
    <col min="4" max="4" width="15.33203125" style="20" bestFit="1" customWidth="1"/>
    <col min="5" max="5" width="17.33203125" style="20" bestFit="1" customWidth="1"/>
    <col min="6" max="6" width="8.109375" style="20" bestFit="1" customWidth="1"/>
    <col min="7" max="7" width="11.109375" style="20" bestFit="1" customWidth="1"/>
    <col min="8" max="8" width="18.33203125" style="20" bestFit="1" customWidth="1"/>
    <col min="9" max="9" width="19.109375" style="20" bestFit="1" customWidth="1"/>
    <col min="10" max="10" width="17.77734375" style="20" bestFit="1" customWidth="1"/>
    <col min="11" max="11" width="16.33203125" style="20" bestFit="1" customWidth="1"/>
    <col min="12" max="12" width="18.44140625" style="20" bestFit="1" customWidth="1"/>
    <col min="13" max="13" width="17.109375" style="20" bestFit="1" customWidth="1"/>
    <col min="14" max="14" width="15.6640625" style="20" bestFit="1" customWidth="1"/>
    <col min="15" max="15" width="10.5546875" style="20" bestFit="1" customWidth="1"/>
    <col min="16" max="16" width="18.77734375" style="20" bestFit="1" customWidth="1"/>
    <col min="17" max="17" width="16.77734375" style="20" bestFit="1" customWidth="1"/>
    <col min="18" max="18" width="8.5546875" style="20" bestFit="1" customWidth="1"/>
    <col min="19" max="19" width="21.88671875" style="20" bestFit="1" customWidth="1"/>
    <col min="20" max="20" width="18.77734375" style="20" bestFit="1" customWidth="1"/>
    <col min="21" max="21" width="23" style="20" hidden="1" customWidth="1" outlineLevel="1"/>
    <col min="22" max="22" width="21" style="20" hidden="1" customWidth="1" outlineLevel="1"/>
    <col min="23" max="23" width="30" style="20" bestFit="1" customWidth="1" collapsed="1"/>
    <col min="24" max="24" width="17.6640625" style="20" bestFit="1" customWidth="1"/>
    <col min="25" max="16384" width="8.88671875" style="20"/>
  </cols>
  <sheetData>
    <row r="1" spans="1:15" s="12" customFormat="1" x14ac:dyDescent="0.3">
      <c r="A1" s="12" t="s">
        <v>5</v>
      </c>
      <c r="B1" s="12" t="s">
        <v>60</v>
      </c>
      <c r="C1" s="12" t="s">
        <v>20</v>
      </c>
      <c r="D1" s="12" t="s">
        <v>33</v>
      </c>
      <c r="E1" s="52" t="s">
        <v>34</v>
      </c>
      <c r="F1" s="12" t="s">
        <v>52</v>
      </c>
      <c r="G1" s="12" t="s">
        <v>46</v>
      </c>
      <c r="H1" s="12" t="s">
        <v>50</v>
      </c>
      <c r="I1" s="12" t="s">
        <v>51</v>
      </c>
      <c r="J1" s="12" t="s">
        <v>49</v>
      </c>
      <c r="K1" s="12" t="s">
        <v>69</v>
      </c>
      <c r="L1" s="12" t="s">
        <v>53</v>
      </c>
      <c r="M1" s="12" t="s">
        <v>31</v>
      </c>
      <c r="N1" s="12" t="s">
        <v>32</v>
      </c>
      <c r="O1" s="12" t="s">
        <v>36</v>
      </c>
    </row>
    <row r="2" spans="1:15" x14ac:dyDescent="0.3">
      <c r="A2" s="20" t="s">
        <v>176</v>
      </c>
      <c r="B2" s="53" t="s">
        <v>175</v>
      </c>
      <c r="C2" s="48" t="s">
        <v>16</v>
      </c>
      <c r="D2" s="20" t="s">
        <v>10</v>
      </c>
      <c r="E2" s="54">
        <v>0.58799999999999997</v>
      </c>
      <c r="F2" s="55" t="s">
        <v>120</v>
      </c>
      <c r="G2" s="48" t="s">
        <v>62</v>
      </c>
      <c r="H2" s="48" t="s">
        <v>170</v>
      </c>
      <c r="I2" s="51">
        <v>45413</v>
      </c>
      <c r="J2" s="51">
        <v>45414</v>
      </c>
      <c r="K2" s="51">
        <v>45414</v>
      </c>
      <c r="L2" s="51">
        <v>45688</v>
      </c>
      <c r="M2" s="51">
        <v>45777</v>
      </c>
      <c r="N2" s="51"/>
      <c r="O2" s="48" t="s">
        <v>140</v>
      </c>
    </row>
    <row r="3" spans="1:15" x14ac:dyDescent="0.3">
      <c r="A3" s="20" t="s">
        <v>177</v>
      </c>
      <c r="B3" s="53" t="s">
        <v>175</v>
      </c>
      <c r="C3" s="48" t="s">
        <v>15</v>
      </c>
      <c r="D3" s="20" t="s">
        <v>9</v>
      </c>
      <c r="E3" s="54">
        <v>0</v>
      </c>
      <c r="F3" s="55" t="s">
        <v>121</v>
      </c>
      <c r="G3" s="48" t="s">
        <v>62</v>
      </c>
      <c r="H3" s="48" t="s">
        <v>171</v>
      </c>
      <c r="I3" s="51">
        <v>45698</v>
      </c>
      <c r="J3" s="51">
        <v>45748</v>
      </c>
      <c r="K3" s="51"/>
      <c r="L3" s="51">
        <v>45930</v>
      </c>
      <c r="M3" s="51">
        <v>45930</v>
      </c>
      <c r="N3" s="51"/>
      <c r="O3" s="48" t="s">
        <v>168</v>
      </c>
    </row>
    <row r="4" spans="1:15" x14ac:dyDescent="0.3">
      <c r="A4" s="20" t="s">
        <v>178</v>
      </c>
      <c r="B4" s="53" t="s">
        <v>175</v>
      </c>
      <c r="C4" s="48" t="s">
        <v>15</v>
      </c>
      <c r="D4" s="20" t="s">
        <v>9</v>
      </c>
      <c r="E4" s="54">
        <v>0</v>
      </c>
      <c r="F4" s="55" t="s">
        <v>121</v>
      </c>
      <c r="G4" s="48" t="s">
        <v>62</v>
      </c>
      <c r="H4" s="48" t="s">
        <v>171</v>
      </c>
      <c r="I4" s="51">
        <v>45385</v>
      </c>
      <c r="J4" s="51">
        <v>45566</v>
      </c>
      <c r="K4" s="51"/>
      <c r="L4" s="51">
        <v>45631</v>
      </c>
      <c r="M4" s="51">
        <v>46108</v>
      </c>
      <c r="N4" s="51"/>
      <c r="O4" s="48" t="s">
        <v>70</v>
      </c>
    </row>
    <row r="5" spans="1:15" x14ac:dyDescent="0.3">
      <c r="A5" s="20" t="s">
        <v>179</v>
      </c>
      <c r="B5" s="53" t="s">
        <v>175</v>
      </c>
      <c r="C5" s="48" t="s">
        <v>16</v>
      </c>
      <c r="D5" s="20" t="s">
        <v>10</v>
      </c>
      <c r="E5" s="54">
        <v>0.55000000000000004</v>
      </c>
      <c r="F5" s="55" t="s">
        <v>121</v>
      </c>
      <c r="G5" s="48" t="s">
        <v>62</v>
      </c>
      <c r="H5" s="48" t="s">
        <v>171</v>
      </c>
      <c r="I5" s="51">
        <v>45397</v>
      </c>
      <c r="J5" s="51">
        <v>45413</v>
      </c>
      <c r="K5" s="51">
        <v>45544</v>
      </c>
      <c r="L5" s="51">
        <v>45747</v>
      </c>
      <c r="M5" s="51">
        <v>45747</v>
      </c>
      <c r="N5" s="51"/>
      <c r="O5" s="48" t="s">
        <v>71</v>
      </c>
    </row>
    <row r="6" spans="1:15" x14ac:dyDescent="0.3">
      <c r="A6" s="20" t="s">
        <v>180</v>
      </c>
      <c r="B6" s="53" t="s">
        <v>175</v>
      </c>
      <c r="C6" s="48" t="s">
        <v>15</v>
      </c>
      <c r="D6" s="20" t="s">
        <v>9</v>
      </c>
      <c r="E6" s="54">
        <v>0</v>
      </c>
      <c r="F6" s="55" t="s">
        <v>121</v>
      </c>
      <c r="G6" s="48" t="s">
        <v>62</v>
      </c>
      <c r="H6" s="48" t="s">
        <v>171</v>
      </c>
      <c r="I6" s="51">
        <v>45385</v>
      </c>
      <c r="J6" s="51">
        <v>45385</v>
      </c>
      <c r="K6" s="51"/>
      <c r="L6" s="51">
        <v>45582</v>
      </c>
      <c r="M6" s="51">
        <v>45385</v>
      </c>
      <c r="N6" s="51"/>
      <c r="O6" s="48" t="s">
        <v>72</v>
      </c>
    </row>
    <row r="7" spans="1:15" x14ac:dyDescent="0.3">
      <c r="A7" s="20" t="s">
        <v>181</v>
      </c>
      <c r="B7" s="53" t="s">
        <v>175</v>
      </c>
      <c r="C7" s="48" t="s">
        <v>15</v>
      </c>
      <c r="D7" s="20" t="s">
        <v>10</v>
      </c>
      <c r="E7" s="54">
        <v>0.05</v>
      </c>
      <c r="F7" s="55" t="s">
        <v>121</v>
      </c>
      <c r="G7" s="48" t="s">
        <v>62</v>
      </c>
      <c r="H7" s="48" t="s">
        <v>171</v>
      </c>
      <c r="I7" s="51">
        <v>45709</v>
      </c>
      <c r="J7" s="51">
        <v>45385</v>
      </c>
      <c r="K7" s="51">
        <v>45611</v>
      </c>
      <c r="L7" s="51">
        <v>46022</v>
      </c>
      <c r="M7" s="51">
        <v>46034</v>
      </c>
      <c r="N7" s="51"/>
      <c r="O7" s="48" t="s">
        <v>73</v>
      </c>
    </row>
    <row r="8" spans="1:15" x14ac:dyDescent="0.3">
      <c r="A8" s="20" t="s">
        <v>182</v>
      </c>
      <c r="B8" s="53" t="s">
        <v>175</v>
      </c>
      <c r="C8" s="48" t="s">
        <v>16</v>
      </c>
      <c r="D8" s="20" t="s">
        <v>10</v>
      </c>
      <c r="E8" s="54">
        <v>0.28999999999999998</v>
      </c>
      <c r="F8" s="55" t="s">
        <v>120</v>
      </c>
      <c r="G8" s="48" t="s">
        <v>17</v>
      </c>
      <c r="H8" s="48" t="s">
        <v>172</v>
      </c>
      <c r="I8" s="51">
        <v>45292</v>
      </c>
      <c r="J8" s="51">
        <v>45292</v>
      </c>
      <c r="K8" s="51">
        <v>45292</v>
      </c>
      <c r="L8" s="51">
        <v>46022</v>
      </c>
      <c r="M8" s="51">
        <v>46022</v>
      </c>
      <c r="N8" s="51"/>
      <c r="O8" s="48" t="s">
        <v>74</v>
      </c>
    </row>
    <row r="9" spans="1:15" x14ac:dyDescent="0.3">
      <c r="A9" s="20" t="s">
        <v>183</v>
      </c>
      <c r="B9" s="53" t="s">
        <v>175</v>
      </c>
      <c r="C9" s="48" t="s">
        <v>16</v>
      </c>
      <c r="D9" s="20" t="s">
        <v>10</v>
      </c>
      <c r="E9" s="54">
        <v>0.85</v>
      </c>
      <c r="F9" s="55" t="s">
        <v>120</v>
      </c>
      <c r="G9" s="48" t="s">
        <v>17</v>
      </c>
      <c r="H9" s="48" t="s">
        <v>172</v>
      </c>
      <c r="I9" s="51">
        <v>45398</v>
      </c>
      <c r="J9" s="51">
        <v>45398</v>
      </c>
      <c r="K9" s="51">
        <v>45398</v>
      </c>
      <c r="L9" s="51">
        <v>45747</v>
      </c>
      <c r="M9" s="51">
        <v>45747</v>
      </c>
      <c r="N9" s="51"/>
      <c r="O9" s="48" t="s">
        <v>75</v>
      </c>
    </row>
    <row r="10" spans="1:15" x14ac:dyDescent="0.3">
      <c r="A10" s="20" t="s">
        <v>184</v>
      </c>
      <c r="B10" s="53" t="s">
        <v>175</v>
      </c>
      <c r="C10" s="48" t="s">
        <v>16</v>
      </c>
      <c r="D10" s="20" t="s">
        <v>10</v>
      </c>
      <c r="E10" s="54">
        <v>0.43</v>
      </c>
      <c r="F10" s="55" t="s">
        <v>120</v>
      </c>
      <c r="G10" s="48" t="s">
        <v>17</v>
      </c>
      <c r="H10" s="48" t="s">
        <v>172</v>
      </c>
      <c r="I10" s="51">
        <v>45413</v>
      </c>
      <c r="J10" s="51">
        <v>45505</v>
      </c>
      <c r="K10" s="51">
        <v>45505</v>
      </c>
      <c r="L10" s="51">
        <v>45838</v>
      </c>
      <c r="M10" s="51">
        <v>45838</v>
      </c>
      <c r="N10" s="51"/>
      <c r="O10" s="48" t="s">
        <v>123</v>
      </c>
    </row>
    <row r="11" spans="1:15" x14ac:dyDescent="0.3">
      <c r="A11" s="20" t="s">
        <v>185</v>
      </c>
      <c r="B11" s="53" t="s">
        <v>175</v>
      </c>
      <c r="C11" s="48" t="s">
        <v>16</v>
      </c>
      <c r="D11" s="20" t="s">
        <v>10</v>
      </c>
      <c r="E11" s="54">
        <v>0.28999999999999998</v>
      </c>
      <c r="F11" s="55" t="s">
        <v>120</v>
      </c>
      <c r="G11" s="48" t="s">
        <v>17</v>
      </c>
      <c r="H11" s="48" t="s">
        <v>172</v>
      </c>
      <c r="I11" s="51">
        <v>45473</v>
      </c>
      <c r="J11" s="51">
        <v>45488</v>
      </c>
      <c r="K11" s="51">
        <v>45488</v>
      </c>
      <c r="L11" s="51">
        <v>46053</v>
      </c>
      <c r="M11" s="51">
        <v>46053</v>
      </c>
      <c r="N11" s="51"/>
      <c r="O11" s="48" t="s">
        <v>76</v>
      </c>
    </row>
    <row r="12" spans="1:15" x14ac:dyDescent="0.3">
      <c r="A12" s="20" t="s">
        <v>186</v>
      </c>
      <c r="B12" s="53" t="s">
        <v>175</v>
      </c>
      <c r="C12" s="48" t="s">
        <v>16</v>
      </c>
      <c r="D12" s="20" t="s">
        <v>10</v>
      </c>
      <c r="E12" s="54">
        <v>0.12</v>
      </c>
      <c r="F12" s="55" t="s">
        <v>121</v>
      </c>
      <c r="G12" s="48" t="s">
        <v>55</v>
      </c>
      <c r="H12" s="48" t="s">
        <v>172</v>
      </c>
      <c r="I12" s="51">
        <v>45635</v>
      </c>
      <c r="J12" s="51">
        <v>45636</v>
      </c>
      <c r="K12" s="51">
        <v>45636</v>
      </c>
      <c r="L12" s="51">
        <v>46022</v>
      </c>
      <c r="M12" s="51">
        <v>45930</v>
      </c>
      <c r="N12" s="51"/>
      <c r="O12" s="48" t="s">
        <v>114</v>
      </c>
    </row>
    <row r="13" spans="1:15" x14ac:dyDescent="0.3">
      <c r="A13" s="20" t="s">
        <v>187</v>
      </c>
      <c r="B13" s="53" t="s">
        <v>175</v>
      </c>
      <c r="C13" s="48" t="s">
        <v>16</v>
      </c>
      <c r="D13" s="20" t="s">
        <v>10</v>
      </c>
      <c r="E13" s="54">
        <v>0.8</v>
      </c>
      <c r="F13" s="55" t="s">
        <v>121</v>
      </c>
      <c r="G13" s="48" t="s">
        <v>55</v>
      </c>
      <c r="H13" s="48" t="s">
        <v>173</v>
      </c>
      <c r="I13" s="51">
        <v>44847</v>
      </c>
      <c r="J13" s="51">
        <v>45418</v>
      </c>
      <c r="K13" s="51">
        <v>45418</v>
      </c>
      <c r="L13" s="51">
        <v>45808</v>
      </c>
      <c r="M13" s="51">
        <v>45808</v>
      </c>
      <c r="N13" s="51"/>
      <c r="O13" s="48" t="s">
        <v>77</v>
      </c>
    </row>
    <row r="14" spans="1:15" x14ac:dyDescent="0.3">
      <c r="A14" s="20" t="s">
        <v>188</v>
      </c>
      <c r="B14" s="53" t="s">
        <v>175</v>
      </c>
      <c r="C14" s="48" t="s">
        <v>16</v>
      </c>
      <c r="D14" s="20" t="s">
        <v>10</v>
      </c>
      <c r="E14" s="54">
        <v>0.96030000000000004</v>
      </c>
      <c r="F14" s="55" t="s">
        <v>121</v>
      </c>
      <c r="G14" s="48" t="s">
        <v>54</v>
      </c>
      <c r="H14" s="48" t="s">
        <v>173</v>
      </c>
      <c r="I14" s="51">
        <v>44911</v>
      </c>
      <c r="J14" s="51">
        <v>44911</v>
      </c>
      <c r="K14" s="51">
        <v>44911</v>
      </c>
      <c r="L14" s="51">
        <v>45747</v>
      </c>
      <c r="M14" s="51">
        <v>45747</v>
      </c>
      <c r="N14" s="51"/>
      <c r="O14" s="48" t="s">
        <v>78</v>
      </c>
    </row>
    <row r="15" spans="1:15" x14ac:dyDescent="0.3">
      <c r="A15" s="20" t="s">
        <v>189</v>
      </c>
      <c r="B15" s="53" t="s">
        <v>175</v>
      </c>
      <c r="C15" s="48" t="s">
        <v>119</v>
      </c>
      <c r="D15" s="20" t="s">
        <v>10</v>
      </c>
      <c r="E15" s="54">
        <v>0.99</v>
      </c>
      <c r="F15" s="55" t="s">
        <v>121</v>
      </c>
      <c r="G15" s="48" t="s">
        <v>54</v>
      </c>
      <c r="H15" s="48" t="s">
        <v>171</v>
      </c>
      <c r="I15" s="51">
        <v>45334</v>
      </c>
      <c r="J15" s="51">
        <v>45441</v>
      </c>
      <c r="K15" s="51">
        <v>45460</v>
      </c>
      <c r="L15" s="51">
        <v>45590</v>
      </c>
      <c r="M15" s="51">
        <v>45716</v>
      </c>
      <c r="N15" s="51"/>
      <c r="O15" s="48" t="s">
        <v>79</v>
      </c>
    </row>
    <row r="16" spans="1:15" x14ac:dyDescent="0.3">
      <c r="A16" s="20" t="s">
        <v>190</v>
      </c>
      <c r="B16" s="53" t="s">
        <v>175</v>
      </c>
      <c r="C16" s="48" t="s">
        <v>15</v>
      </c>
      <c r="D16" s="20" t="s">
        <v>9</v>
      </c>
      <c r="E16" s="54">
        <v>0</v>
      </c>
      <c r="F16" s="55" t="s">
        <v>121</v>
      </c>
      <c r="G16" s="48" t="s">
        <v>54</v>
      </c>
      <c r="H16" s="48" t="s">
        <v>173</v>
      </c>
      <c r="I16" s="51">
        <v>45064</v>
      </c>
      <c r="J16" s="51">
        <v>45064</v>
      </c>
      <c r="K16" s="51"/>
      <c r="L16" s="51">
        <v>45657</v>
      </c>
      <c r="M16" s="51">
        <v>45064</v>
      </c>
      <c r="N16" s="51"/>
      <c r="O16" s="48" t="s">
        <v>80</v>
      </c>
    </row>
    <row r="17" spans="1:15" x14ac:dyDescent="0.3">
      <c r="A17" s="20" t="s">
        <v>191</v>
      </c>
      <c r="B17" s="53" t="s">
        <v>175</v>
      </c>
      <c r="C17" s="48" t="s">
        <v>119</v>
      </c>
      <c r="D17" s="20" t="s">
        <v>10</v>
      </c>
      <c r="E17" s="54">
        <v>0.86539999999999995</v>
      </c>
      <c r="F17" s="55" t="s">
        <v>120</v>
      </c>
      <c r="G17" s="48" t="s">
        <v>54</v>
      </c>
      <c r="H17" s="48" t="s">
        <v>170</v>
      </c>
      <c r="I17" s="51">
        <v>45152</v>
      </c>
      <c r="J17" s="51">
        <v>45152</v>
      </c>
      <c r="K17" s="51">
        <v>45152</v>
      </c>
      <c r="L17" s="51">
        <v>45646</v>
      </c>
      <c r="M17" s="51">
        <v>45747</v>
      </c>
      <c r="N17" s="51"/>
      <c r="O17" s="48" t="s">
        <v>146</v>
      </c>
    </row>
    <row r="18" spans="1:15" x14ac:dyDescent="0.3">
      <c r="A18" s="20" t="s">
        <v>192</v>
      </c>
      <c r="B18" s="53" t="s">
        <v>175</v>
      </c>
      <c r="C18" s="48" t="s">
        <v>119</v>
      </c>
      <c r="D18" s="20" t="s">
        <v>10</v>
      </c>
      <c r="E18" s="54">
        <v>0.99709999999999999</v>
      </c>
      <c r="F18" s="55" t="s">
        <v>120</v>
      </c>
      <c r="G18" s="48" t="s">
        <v>54</v>
      </c>
      <c r="H18" s="48" t="s">
        <v>170</v>
      </c>
      <c r="I18" s="51">
        <v>45170</v>
      </c>
      <c r="J18" s="51">
        <v>45141</v>
      </c>
      <c r="K18" s="51">
        <v>45141</v>
      </c>
      <c r="L18" s="51">
        <v>45646</v>
      </c>
      <c r="M18" s="51">
        <v>45747</v>
      </c>
      <c r="N18" s="51"/>
      <c r="O18" s="48" t="s">
        <v>147</v>
      </c>
    </row>
    <row r="19" spans="1:15" x14ac:dyDescent="0.3">
      <c r="A19" s="20" t="s">
        <v>193</v>
      </c>
      <c r="B19" s="53" t="s">
        <v>175</v>
      </c>
      <c r="C19" s="48" t="s">
        <v>16</v>
      </c>
      <c r="D19" s="20" t="s">
        <v>10</v>
      </c>
      <c r="E19" s="54">
        <v>0.996</v>
      </c>
      <c r="F19" s="55" t="s">
        <v>120</v>
      </c>
      <c r="G19" s="48" t="s">
        <v>54</v>
      </c>
      <c r="H19" s="48" t="s">
        <v>170</v>
      </c>
      <c r="I19" s="51">
        <v>45145</v>
      </c>
      <c r="J19" s="51">
        <v>45078</v>
      </c>
      <c r="K19" s="51">
        <v>45078</v>
      </c>
      <c r="L19" s="51">
        <v>45646</v>
      </c>
      <c r="M19" s="51">
        <v>45747</v>
      </c>
      <c r="N19" s="51"/>
      <c r="O19" s="48" t="s">
        <v>148</v>
      </c>
    </row>
    <row r="20" spans="1:15" x14ac:dyDescent="0.3">
      <c r="A20" s="20" t="s">
        <v>194</v>
      </c>
      <c r="B20" s="53" t="s">
        <v>175</v>
      </c>
      <c r="C20" s="48" t="s">
        <v>119</v>
      </c>
      <c r="D20" s="20" t="s">
        <v>10</v>
      </c>
      <c r="E20" s="54">
        <v>0.99319999999999997</v>
      </c>
      <c r="F20" s="55" t="s">
        <v>120</v>
      </c>
      <c r="G20" s="48" t="s">
        <v>54</v>
      </c>
      <c r="H20" s="48" t="s">
        <v>170</v>
      </c>
      <c r="I20" s="51">
        <v>45210</v>
      </c>
      <c r="J20" s="51">
        <v>45210</v>
      </c>
      <c r="K20" s="51">
        <v>45210</v>
      </c>
      <c r="L20" s="51">
        <v>45646</v>
      </c>
      <c r="M20" s="51">
        <v>45747</v>
      </c>
      <c r="N20" s="51"/>
      <c r="O20" s="48" t="s">
        <v>149</v>
      </c>
    </row>
    <row r="21" spans="1:15" x14ac:dyDescent="0.3">
      <c r="A21" s="20" t="s">
        <v>195</v>
      </c>
      <c r="B21" s="53" t="s">
        <v>175</v>
      </c>
      <c r="C21" s="48" t="s">
        <v>16</v>
      </c>
      <c r="D21" s="20" t="s">
        <v>10</v>
      </c>
      <c r="E21" s="54">
        <v>0.51529999999999998</v>
      </c>
      <c r="F21" s="55" t="s">
        <v>120</v>
      </c>
      <c r="G21" s="48" t="s">
        <v>54</v>
      </c>
      <c r="H21" s="48" t="s">
        <v>170</v>
      </c>
      <c r="I21" s="51">
        <v>45413</v>
      </c>
      <c r="J21" s="51">
        <v>45414</v>
      </c>
      <c r="K21" s="51">
        <v>45414</v>
      </c>
      <c r="L21" s="51">
        <v>45716</v>
      </c>
      <c r="M21" s="51">
        <v>45777</v>
      </c>
      <c r="N21" s="51"/>
      <c r="O21" s="48" t="s">
        <v>144</v>
      </c>
    </row>
    <row r="22" spans="1:15" x14ac:dyDescent="0.3">
      <c r="A22" s="20" t="s">
        <v>196</v>
      </c>
      <c r="B22" s="53" t="s">
        <v>175</v>
      </c>
      <c r="C22" s="48" t="s">
        <v>15</v>
      </c>
      <c r="D22" s="20" t="s">
        <v>9</v>
      </c>
      <c r="E22" s="54">
        <v>0</v>
      </c>
      <c r="F22" s="55" t="s">
        <v>120</v>
      </c>
      <c r="G22" s="48" t="s">
        <v>54</v>
      </c>
      <c r="H22" s="48" t="s">
        <v>174</v>
      </c>
      <c r="I22" s="51">
        <v>45418</v>
      </c>
      <c r="J22" s="51">
        <v>45418</v>
      </c>
      <c r="K22" s="51"/>
      <c r="L22" s="51">
        <v>45646</v>
      </c>
      <c r="M22" s="51">
        <v>45418</v>
      </c>
      <c r="N22" s="51"/>
      <c r="O22" s="48" t="s">
        <v>81</v>
      </c>
    </row>
    <row r="23" spans="1:15" x14ac:dyDescent="0.3">
      <c r="A23" s="20" t="s">
        <v>197</v>
      </c>
      <c r="B23" s="53" t="s">
        <v>175</v>
      </c>
      <c r="C23" s="48" t="s">
        <v>16</v>
      </c>
      <c r="D23" s="20" t="s">
        <v>10</v>
      </c>
      <c r="E23" s="54">
        <v>0.2</v>
      </c>
      <c r="F23" s="55" t="s">
        <v>121</v>
      </c>
      <c r="G23" s="48" t="s">
        <v>54</v>
      </c>
      <c r="H23" s="48" t="s">
        <v>174</v>
      </c>
      <c r="I23" s="51">
        <v>45394</v>
      </c>
      <c r="J23" s="51">
        <v>45639</v>
      </c>
      <c r="K23" s="51">
        <v>45639</v>
      </c>
      <c r="L23" s="51">
        <v>45596</v>
      </c>
      <c r="M23" s="51">
        <v>45786</v>
      </c>
      <c r="N23" s="51"/>
      <c r="O23" s="48" t="s">
        <v>82</v>
      </c>
    </row>
    <row r="24" spans="1:15" x14ac:dyDescent="0.3">
      <c r="A24" s="20" t="s">
        <v>198</v>
      </c>
      <c r="B24" s="53" t="s">
        <v>175</v>
      </c>
      <c r="C24" s="48" t="s">
        <v>16</v>
      </c>
      <c r="D24" s="20" t="s">
        <v>85</v>
      </c>
      <c r="E24" s="54">
        <v>7.0000000000000007E-2</v>
      </c>
      <c r="F24" s="55" t="s">
        <v>120</v>
      </c>
      <c r="G24" s="48" t="s">
        <v>54</v>
      </c>
      <c r="H24" s="48" t="s">
        <v>174</v>
      </c>
      <c r="I24" s="51">
        <v>45322</v>
      </c>
      <c r="J24" s="51">
        <v>45457</v>
      </c>
      <c r="K24" s="51"/>
      <c r="L24" s="51">
        <v>45450</v>
      </c>
      <c r="M24" s="51">
        <v>45504</v>
      </c>
      <c r="N24" s="51"/>
      <c r="O24" s="48" t="s">
        <v>83</v>
      </c>
    </row>
    <row r="25" spans="1:15" x14ac:dyDescent="0.3">
      <c r="A25" s="20" t="s">
        <v>199</v>
      </c>
      <c r="B25" s="53" t="s">
        <v>175</v>
      </c>
      <c r="C25" s="48" t="s">
        <v>16</v>
      </c>
      <c r="D25" s="20" t="s">
        <v>10</v>
      </c>
      <c r="E25" s="54">
        <v>0.99</v>
      </c>
      <c r="F25" s="55" t="s">
        <v>129</v>
      </c>
      <c r="G25" s="48" t="s">
        <v>54</v>
      </c>
      <c r="H25" s="48" t="s">
        <v>174</v>
      </c>
      <c r="I25" s="51">
        <v>45005</v>
      </c>
      <c r="J25" s="51">
        <v>45093</v>
      </c>
      <c r="K25" s="51">
        <v>45093</v>
      </c>
      <c r="L25" s="51">
        <v>45548</v>
      </c>
      <c r="M25" s="51">
        <v>45751</v>
      </c>
      <c r="N25" s="51"/>
      <c r="O25" s="48" t="s">
        <v>84</v>
      </c>
    </row>
  </sheetData>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EF1F-6731-488A-8680-A0C197D6D43B}">
  <sheetPr codeName="Sheet5"/>
  <dimension ref="A1:Q25"/>
  <sheetViews>
    <sheetView workbookViewId="0">
      <selection sqref="A1:Q25"/>
    </sheetView>
  </sheetViews>
  <sheetFormatPr defaultColWidth="8.88671875" defaultRowHeight="13.8" x14ac:dyDescent="0.3"/>
  <cols>
    <col min="1" max="1" width="19.44140625" style="20" bestFit="1" customWidth="1"/>
    <col min="2" max="2" width="18.6640625" style="20" bestFit="1" customWidth="1"/>
    <col min="3" max="3" width="8.77734375" style="20" bestFit="1" customWidth="1"/>
    <col min="4" max="4" width="15.33203125" style="20" bestFit="1" customWidth="1"/>
    <col min="5" max="5" width="12.33203125" style="20" bestFit="1" customWidth="1"/>
    <col min="6" max="6" width="14.33203125" style="20" bestFit="1" customWidth="1"/>
    <col min="7" max="7" width="6.6640625" style="20" bestFit="1" customWidth="1"/>
    <col min="8" max="8" width="7.88671875" style="20" bestFit="1" customWidth="1"/>
    <col min="9" max="9" width="10.33203125" style="20" bestFit="1" customWidth="1"/>
    <col min="10" max="10" width="44.77734375" style="20" bestFit="1" customWidth="1"/>
    <col min="11" max="11" width="11.33203125" style="20" bestFit="1" customWidth="1"/>
    <col min="12" max="12" width="10" style="20" bestFit="1" customWidth="1"/>
    <col min="13" max="15" width="44.77734375" style="20" bestFit="1" customWidth="1"/>
    <col min="16" max="16" width="19.109375" style="20" customWidth="1"/>
    <col min="17" max="17" width="12.21875" style="20" bestFit="1" customWidth="1"/>
    <col min="18" max="18" width="80.88671875" style="20" bestFit="1" customWidth="1"/>
    <col min="19" max="20" width="11.88671875" style="20" bestFit="1" customWidth="1"/>
    <col min="21" max="16384" width="8.88671875" style="20"/>
  </cols>
  <sheetData>
    <row r="1" spans="1:17" s="12" customFormat="1" x14ac:dyDescent="0.3">
      <c r="A1" s="12" t="s">
        <v>56</v>
      </c>
      <c r="B1" s="12" t="s">
        <v>36</v>
      </c>
      <c r="C1" s="12" t="s">
        <v>20</v>
      </c>
      <c r="D1" s="12" t="s">
        <v>33</v>
      </c>
      <c r="E1" s="12" t="s">
        <v>57</v>
      </c>
      <c r="F1" s="12" t="s">
        <v>21</v>
      </c>
      <c r="G1" s="12" t="s">
        <v>22</v>
      </c>
      <c r="H1" s="12" t="s">
        <v>23</v>
      </c>
      <c r="I1" s="12" t="s">
        <v>24</v>
      </c>
      <c r="J1" s="20" t="s">
        <v>122</v>
      </c>
      <c r="K1" s="12" t="s">
        <v>25</v>
      </c>
      <c r="L1" s="12" t="s">
        <v>58</v>
      </c>
      <c r="M1" s="12" t="s">
        <v>26</v>
      </c>
      <c r="N1" s="12" t="s">
        <v>28</v>
      </c>
      <c r="O1" s="12" t="s">
        <v>27</v>
      </c>
      <c r="P1" s="12" t="s">
        <v>44</v>
      </c>
      <c r="Q1" s="20" t="s">
        <v>127</v>
      </c>
    </row>
    <row r="2" spans="1:17" x14ac:dyDescent="0.3">
      <c r="A2" s="20" t="s">
        <v>176</v>
      </c>
      <c r="B2" s="48" t="s">
        <v>158</v>
      </c>
      <c r="C2" s="48" t="s">
        <v>15</v>
      </c>
      <c r="D2" s="48" t="s">
        <v>9</v>
      </c>
      <c r="E2" s="51">
        <v>45740</v>
      </c>
      <c r="F2" s="48" t="s">
        <v>120</v>
      </c>
      <c r="G2" s="48" t="s">
        <v>121</v>
      </c>
      <c r="H2" s="48" t="s">
        <v>121</v>
      </c>
      <c r="I2" s="48" t="s">
        <v>121</v>
      </c>
      <c r="J2" s="53" t="s">
        <v>175</v>
      </c>
      <c r="K2" s="48" t="s">
        <v>121</v>
      </c>
      <c r="L2" s="51">
        <v>45740</v>
      </c>
      <c r="M2" s="53" t="s">
        <v>175</v>
      </c>
      <c r="N2" s="53" t="s">
        <v>175</v>
      </c>
      <c r="O2" s="53" t="s">
        <v>175</v>
      </c>
      <c r="P2" s="48" t="s">
        <v>159</v>
      </c>
      <c r="Q2" s="20" t="s">
        <v>81</v>
      </c>
    </row>
    <row r="3" spans="1:17" x14ac:dyDescent="0.3">
      <c r="A3" s="20" t="s">
        <v>177</v>
      </c>
      <c r="B3" s="48" t="s">
        <v>160</v>
      </c>
      <c r="C3" s="48" t="s">
        <v>16</v>
      </c>
      <c r="D3" s="48" t="s">
        <v>10</v>
      </c>
      <c r="E3" s="51">
        <v>45740</v>
      </c>
      <c r="F3" s="48" t="s">
        <v>121</v>
      </c>
      <c r="G3" s="48" t="s">
        <v>121</v>
      </c>
      <c r="H3" s="48" t="s">
        <v>121</v>
      </c>
      <c r="I3" s="48" t="s">
        <v>121</v>
      </c>
      <c r="J3" s="53" t="s">
        <v>175</v>
      </c>
      <c r="K3" s="48" t="s">
        <v>121</v>
      </c>
      <c r="L3" s="51">
        <v>45740</v>
      </c>
      <c r="M3" s="53" t="s">
        <v>175</v>
      </c>
      <c r="N3" s="53" t="s">
        <v>175</v>
      </c>
      <c r="O3" s="53" t="s">
        <v>175</v>
      </c>
      <c r="P3" s="48" t="s">
        <v>159</v>
      </c>
      <c r="Q3" s="20" t="s">
        <v>82</v>
      </c>
    </row>
    <row r="4" spans="1:17" x14ac:dyDescent="0.3">
      <c r="A4" s="20" t="s">
        <v>178</v>
      </c>
      <c r="B4" s="48" t="s">
        <v>161</v>
      </c>
      <c r="C4" s="48" t="s">
        <v>16</v>
      </c>
      <c r="D4" s="48" t="s">
        <v>85</v>
      </c>
      <c r="E4" s="51">
        <v>45740</v>
      </c>
      <c r="F4" s="48" t="s">
        <v>120</v>
      </c>
      <c r="G4" s="48" t="s">
        <v>121</v>
      </c>
      <c r="H4" s="48" t="s">
        <v>120</v>
      </c>
      <c r="I4" s="48" t="s">
        <v>120</v>
      </c>
      <c r="J4" s="53" t="s">
        <v>175</v>
      </c>
      <c r="K4" s="48" t="s">
        <v>121</v>
      </c>
      <c r="L4" s="51">
        <v>45740</v>
      </c>
      <c r="M4" s="53" t="s">
        <v>175</v>
      </c>
      <c r="N4" s="53" t="s">
        <v>175</v>
      </c>
      <c r="O4" s="53" t="s">
        <v>175</v>
      </c>
      <c r="P4" s="48" t="s">
        <v>159</v>
      </c>
      <c r="Q4" s="20" t="s">
        <v>83</v>
      </c>
    </row>
    <row r="5" spans="1:17" x14ac:dyDescent="0.3">
      <c r="A5" s="20" t="s">
        <v>179</v>
      </c>
      <c r="B5" s="48" t="s">
        <v>162</v>
      </c>
      <c r="C5" s="48" t="s">
        <v>16</v>
      </c>
      <c r="D5" s="48" t="s">
        <v>10</v>
      </c>
      <c r="E5" s="51">
        <v>45740</v>
      </c>
      <c r="F5" s="48" t="s">
        <v>129</v>
      </c>
      <c r="G5" s="48" t="s">
        <v>120</v>
      </c>
      <c r="H5" s="48" t="s">
        <v>121</v>
      </c>
      <c r="I5" s="48" t="s">
        <v>121</v>
      </c>
      <c r="J5" s="53" t="s">
        <v>175</v>
      </c>
      <c r="K5" s="48" t="s">
        <v>121</v>
      </c>
      <c r="L5" s="51">
        <v>45740</v>
      </c>
      <c r="M5" s="53" t="s">
        <v>175</v>
      </c>
      <c r="N5" s="53" t="s">
        <v>175</v>
      </c>
      <c r="O5" s="53" t="s">
        <v>175</v>
      </c>
      <c r="P5" s="48" t="s">
        <v>159</v>
      </c>
      <c r="Q5" s="20" t="s">
        <v>84</v>
      </c>
    </row>
    <row r="6" spans="1:17" x14ac:dyDescent="0.3">
      <c r="A6" s="20" t="s">
        <v>180</v>
      </c>
      <c r="B6" s="48" t="s">
        <v>163</v>
      </c>
      <c r="C6" s="48" t="s">
        <v>16</v>
      </c>
      <c r="D6" s="48" t="s">
        <v>10</v>
      </c>
      <c r="E6" s="51">
        <v>45736</v>
      </c>
      <c r="F6" s="48" t="s">
        <v>120</v>
      </c>
      <c r="G6" s="48" t="s">
        <v>121</v>
      </c>
      <c r="H6" s="48" t="s">
        <v>121</v>
      </c>
      <c r="I6" s="48" t="s">
        <v>129</v>
      </c>
      <c r="J6" s="53" t="s">
        <v>175</v>
      </c>
      <c r="K6" s="48" t="s">
        <v>121</v>
      </c>
      <c r="L6" s="51">
        <v>45736</v>
      </c>
      <c r="M6" s="53" t="s">
        <v>175</v>
      </c>
      <c r="N6" s="53" t="s">
        <v>175</v>
      </c>
      <c r="O6" s="53" t="s">
        <v>175</v>
      </c>
      <c r="P6" s="48" t="s">
        <v>159</v>
      </c>
      <c r="Q6" s="20" t="s">
        <v>140</v>
      </c>
    </row>
    <row r="7" spans="1:17" x14ac:dyDescent="0.3">
      <c r="A7" s="20" t="s">
        <v>181</v>
      </c>
      <c r="B7" s="48" t="s">
        <v>200</v>
      </c>
      <c r="C7" s="48" t="s">
        <v>16</v>
      </c>
      <c r="D7" s="48" t="s">
        <v>10</v>
      </c>
      <c r="E7" s="51">
        <v>45736</v>
      </c>
      <c r="F7" s="48" t="s">
        <v>120</v>
      </c>
      <c r="G7" s="48" t="s">
        <v>121</v>
      </c>
      <c r="H7" s="48" t="s">
        <v>121</v>
      </c>
      <c r="I7" s="48" t="s">
        <v>120</v>
      </c>
      <c r="J7" s="53" t="s">
        <v>175</v>
      </c>
      <c r="K7" s="48" t="s">
        <v>121</v>
      </c>
      <c r="L7" s="51">
        <v>45736</v>
      </c>
      <c r="M7" s="53" t="s">
        <v>175</v>
      </c>
      <c r="N7" s="53" t="s">
        <v>175</v>
      </c>
      <c r="O7" s="53" t="s">
        <v>175</v>
      </c>
      <c r="P7" s="48" t="s">
        <v>159</v>
      </c>
      <c r="Q7" s="20" t="s">
        <v>74</v>
      </c>
    </row>
    <row r="8" spans="1:17" x14ac:dyDescent="0.3">
      <c r="A8" s="20" t="s">
        <v>182</v>
      </c>
      <c r="B8" s="48" t="s">
        <v>164</v>
      </c>
      <c r="C8" s="48" t="s">
        <v>16</v>
      </c>
      <c r="D8" s="48" t="s">
        <v>10</v>
      </c>
      <c r="E8" s="51">
        <v>45736</v>
      </c>
      <c r="F8" s="48" t="s">
        <v>121</v>
      </c>
      <c r="G8" s="48" t="s">
        <v>121</v>
      </c>
      <c r="H8" s="48" t="s">
        <v>121</v>
      </c>
      <c r="I8" s="48" t="s">
        <v>120</v>
      </c>
      <c r="J8" s="53" t="s">
        <v>175</v>
      </c>
      <c r="K8" s="48" t="s">
        <v>121</v>
      </c>
      <c r="L8" s="51">
        <v>45736</v>
      </c>
      <c r="M8" s="53" t="s">
        <v>175</v>
      </c>
      <c r="N8" s="53" t="s">
        <v>175</v>
      </c>
      <c r="O8" s="53" t="s">
        <v>175</v>
      </c>
      <c r="P8" s="48" t="s">
        <v>159</v>
      </c>
      <c r="Q8" s="20" t="s">
        <v>114</v>
      </c>
    </row>
    <row r="9" spans="1:17" x14ac:dyDescent="0.3">
      <c r="A9" s="20" t="s">
        <v>183</v>
      </c>
      <c r="B9" s="48" t="s">
        <v>165</v>
      </c>
      <c r="C9" s="48" t="s">
        <v>16</v>
      </c>
      <c r="D9" s="48" t="s">
        <v>10</v>
      </c>
      <c r="E9" s="51">
        <v>45736</v>
      </c>
      <c r="F9" s="48" t="s">
        <v>120</v>
      </c>
      <c r="G9" s="48" t="s">
        <v>121</v>
      </c>
      <c r="H9" s="48" t="s">
        <v>121</v>
      </c>
      <c r="I9" s="48" t="s">
        <v>120</v>
      </c>
      <c r="J9" s="53" t="s">
        <v>175</v>
      </c>
      <c r="K9" s="48" t="s">
        <v>121</v>
      </c>
      <c r="L9" s="51">
        <v>45736</v>
      </c>
      <c r="M9" s="53" t="s">
        <v>175</v>
      </c>
      <c r="N9" s="53" t="s">
        <v>175</v>
      </c>
      <c r="O9" s="53" t="s">
        <v>175</v>
      </c>
      <c r="P9" s="48" t="s">
        <v>159</v>
      </c>
      <c r="Q9" s="20" t="s">
        <v>142</v>
      </c>
    </row>
    <row r="10" spans="1:17" x14ac:dyDescent="0.3">
      <c r="A10" s="20" t="s">
        <v>184</v>
      </c>
      <c r="B10" s="48" t="s">
        <v>166</v>
      </c>
      <c r="C10" s="48" t="s">
        <v>16</v>
      </c>
      <c r="D10" s="48" t="s">
        <v>10</v>
      </c>
      <c r="E10" s="51">
        <v>45736</v>
      </c>
      <c r="F10" s="48" t="s">
        <v>120</v>
      </c>
      <c r="G10" s="48" t="s">
        <v>120</v>
      </c>
      <c r="H10" s="48" t="s">
        <v>121</v>
      </c>
      <c r="I10" s="48" t="s">
        <v>129</v>
      </c>
      <c r="J10" s="53" t="s">
        <v>175</v>
      </c>
      <c r="K10" s="48" t="s">
        <v>121</v>
      </c>
      <c r="L10" s="51">
        <v>45736</v>
      </c>
      <c r="M10" s="53" t="s">
        <v>175</v>
      </c>
      <c r="N10" s="53" t="s">
        <v>175</v>
      </c>
      <c r="O10" s="53" t="s">
        <v>175</v>
      </c>
      <c r="P10" s="48" t="s">
        <v>159</v>
      </c>
      <c r="Q10" s="20" t="s">
        <v>144</v>
      </c>
    </row>
    <row r="11" spans="1:17" x14ac:dyDescent="0.3">
      <c r="A11" s="20" t="s">
        <v>185</v>
      </c>
      <c r="B11" s="48" t="s">
        <v>167</v>
      </c>
      <c r="C11" s="48" t="s">
        <v>16</v>
      </c>
      <c r="D11" s="48" t="s">
        <v>10</v>
      </c>
      <c r="E11" s="51">
        <v>45736</v>
      </c>
      <c r="F11" s="48" t="s">
        <v>120</v>
      </c>
      <c r="G11" s="48" t="s">
        <v>121</v>
      </c>
      <c r="H11" s="48" t="s">
        <v>121</v>
      </c>
      <c r="I11" s="48" t="s">
        <v>129</v>
      </c>
      <c r="J11" s="53" t="s">
        <v>175</v>
      </c>
      <c r="K11" s="48" t="s">
        <v>121</v>
      </c>
      <c r="L11" s="51">
        <v>45736</v>
      </c>
      <c r="M11" s="53" t="s">
        <v>175</v>
      </c>
      <c r="N11" s="53" t="s">
        <v>175</v>
      </c>
      <c r="O11" s="53" t="s">
        <v>175</v>
      </c>
      <c r="P11" s="48" t="s">
        <v>159</v>
      </c>
      <c r="Q11" s="20" t="s">
        <v>150</v>
      </c>
    </row>
    <row r="12" spans="1:17" x14ac:dyDescent="0.3">
      <c r="A12" s="20" t="s">
        <v>186</v>
      </c>
      <c r="B12" s="48" t="s">
        <v>200</v>
      </c>
      <c r="C12" s="48" t="s">
        <v>16</v>
      </c>
      <c r="D12" s="48" t="s">
        <v>10</v>
      </c>
      <c r="E12" s="51">
        <v>45736</v>
      </c>
      <c r="F12" s="48" t="s">
        <v>120</v>
      </c>
      <c r="G12" s="48" t="s">
        <v>121</v>
      </c>
      <c r="H12" s="48" t="s">
        <v>121</v>
      </c>
      <c r="I12" s="48" t="s">
        <v>120</v>
      </c>
      <c r="J12" s="53" t="s">
        <v>175</v>
      </c>
      <c r="K12" s="48" t="s">
        <v>121</v>
      </c>
      <c r="L12" s="51">
        <v>45736</v>
      </c>
      <c r="M12" s="53" t="s">
        <v>175</v>
      </c>
      <c r="N12" s="53" t="s">
        <v>175</v>
      </c>
      <c r="O12" s="53" t="s">
        <v>175</v>
      </c>
      <c r="P12" s="48" t="s">
        <v>159</v>
      </c>
      <c r="Q12" s="20" t="s">
        <v>75</v>
      </c>
    </row>
    <row r="13" spans="1:17" x14ac:dyDescent="0.3">
      <c r="A13" s="20" t="s">
        <v>187</v>
      </c>
      <c r="B13" s="48" t="s">
        <v>201</v>
      </c>
      <c r="C13" s="48" t="s">
        <v>16</v>
      </c>
      <c r="D13" s="48" t="s">
        <v>10</v>
      </c>
      <c r="E13" s="51">
        <v>45736</v>
      </c>
      <c r="F13" s="48" t="s">
        <v>120</v>
      </c>
      <c r="G13" s="48" t="s">
        <v>121</v>
      </c>
      <c r="H13" s="48" t="s">
        <v>121</v>
      </c>
      <c r="I13" s="48" t="s">
        <v>120</v>
      </c>
      <c r="J13" s="53" t="s">
        <v>175</v>
      </c>
      <c r="K13" s="48" t="s">
        <v>121</v>
      </c>
      <c r="L13" s="51">
        <v>45736</v>
      </c>
      <c r="M13" s="53" t="s">
        <v>175</v>
      </c>
      <c r="N13" s="53" t="s">
        <v>175</v>
      </c>
      <c r="O13" s="53" t="s">
        <v>175</v>
      </c>
      <c r="P13" s="48" t="s">
        <v>159</v>
      </c>
      <c r="Q13" s="20" t="s">
        <v>123</v>
      </c>
    </row>
    <row r="14" spans="1:17" x14ac:dyDescent="0.3">
      <c r="A14" s="20" t="s">
        <v>188</v>
      </c>
      <c r="B14" s="48" t="s">
        <v>200</v>
      </c>
      <c r="C14" s="48" t="s">
        <v>16</v>
      </c>
      <c r="D14" s="48" t="s">
        <v>10</v>
      </c>
      <c r="E14" s="51">
        <v>45736</v>
      </c>
      <c r="F14" s="48" t="s">
        <v>120</v>
      </c>
      <c r="G14" s="48" t="s">
        <v>121</v>
      </c>
      <c r="H14" s="48" t="s">
        <v>121</v>
      </c>
      <c r="I14" s="48" t="s">
        <v>120</v>
      </c>
      <c r="J14" s="53" t="s">
        <v>175</v>
      </c>
      <c r="K14" s="48" t="s">
        <v>121</v>
      </c>
      <c r="L14" s="51">
        <v>45736</v>
      </c>
      <c r="M14" s="53" t="s">
        <v>175</v>
      </c>
      <c r="N14" s="53" t="s">
        <v>175</v>
      </c>
      <c r="O14" s="53" t="s">
        <v>175</v>
      </c>
      <c r="P14" s="48" t="s">
        <v>159</v>
      </c>
      <c r="Q14" s="20" t="s">
        <v>76</v>
      </c>
    </row>
    <row r="15" spans="1:17" x14ac:dyDescent="0.3">
      <c r="A15" s="20" t="s">
        <v>189</v>
      </c>
      <c r="B15" s="48" t="s">
        <v>138</v>
      </c>
      <c r="C15" s="48" t="s">
        <v>16</v>
      </c>
      <c r="D15" s="48" t="s">
        <v>10</v>
      </c>
      <c r="E15" s="51">
        <v>45730</v>
      </c>
      <c r="F15" s="48" t="s">
        <v>120</v>
      </c>
      <c r="G15" s="48" t="s">
        <v>121</v>
      </c>
      <c r="H15" s="48" t="s">
        <v>121</v>
      </c>
      <c r="I15" s="48" t="s">
        <v>120</v>
      </c>
      <c r="J15" s="53" t="s">
        <v>175</v>
      </c>
      <c r="K15" s="48" t="s">
        <v>121</v>
      </c>
      <c r="L15" s="51">
        <v>45730</v>
      </c>
      <c r="M15" s="53" t="s">
        <v>175</v>
      </c>
      <c r="N15" s="53" t="s">
        <v>175</v>
      </c>
      <c r="O15" s="53" t="s">
        <v>175</v>
      </c>
      <c r="P15" s="48" t="s">
        <v>159</v>
      </c>
      <c r="Q15" s="20" t="s">
        <v>82</v>
      </c>
    </row>
    <row r="16" spans="1:17" x14ac:dyDescent="0.3">
      <c r="A16" s="20" t="s">
        <v>190</v>
      </c>
      <c r="B16" s="48" t="s">
        <v>139</v>
      </c>
      <c r="C16" s="48" t="s">
        <v>16</v>
      </c>
      <c r="D16" s="48" t="s">
        <v>10</v>
      </c>
      <c r="E16" s="51">
        <v>45723</v>
      </c>
      <c r="F16" s="48" t="s">
        <v>120</v>
      </c>
      <c r="G16" s="48" t="s">
        <v>121</v>
      </c>
      <c r="H16" s="48" t="s">
        <v>121</v>
      </c>
      <c r="I16" s="48" t="s">
        <v>129</v>
      </c>
      <c r="J16" s="53" t="s">
        <v>175</v>
      </c>
      <c r="K16" s="48" t="s">
        <v>121</v>
      </c>
      <c r="L16" s="51">
        <v>45723</v>
      </c>
      <c r="M16" s="53" t="s">
        <v>175</v>
      </c>
      <c r="N16" s="53" t="s">
        <v>175</v>
      </c>
      <c r="O16" s="53" t="s">
        <v>175</v>
      </c>
      <c r="P16" s="48" t="s">
        <v>159</v>
      </c>
      <c r="Q16" s="20" t="s">
        <v>140</v>
      </c>
    </row>
    <row r="17" spans="1:17" x14ac:dyDescent="0.3">
      <c r="A17" s="20" t="s">
        <v>191</v>
      </c>
      <c r="B17" s="48" t="s">
        <v>202</v>
      </c>
      <c r="C17" s="48" t="s">
        <v>16</v>
      </c>
      <c r="D17" s="48" t="s">
        <v>10</v>
      </c>
      <c r="E17" s="51">
        <v>45723</v>
      </c>
      <c r="F17" s="48" t="s">
        <v>120</v>
      </c>
      <c r="G17" s="48" t="s">
        <v>121</v>
      </c>
      <c r="H17" s="48" t="s">
        <v>121</v>
      </c>
      <c r="I17" s="48" t="s">
        <v>120</v>
      </c>
      <c r="J17" s="53" t="s">
        <v>175</v>
      </c>
      <c r="K17" s="48" t="s">
        <v>121</v>
      </c>
      <c r="L17" s="51">
        <v>45723</v>
      </c>
      <c r="M17" s="53" t="s">
        <v>175</v>
      </c>
      <c r="N17" s="53" t="s">
        <v>175</v>
      </c>
      <c r="O17" s="53" t="s">
        <v>175</v>
      </c>
      <c r="P17" s="48" t="s">
        <v>159</v>
      </c>
      <c r="Q17" s="20" t="s">
        <v>74</v>
      </c>
    </row>
    <row r="18" spans="1:17" x14ac:dyDescent="0.3">
      <c r="A18" s="20" t="s">
        <v>192</v>
      </c>
      <c r="B18" s="48" t="s">
        <v>141</v>
      </c>
      <c r="C18" s="48" t="s">
        <v>16</v>
      </c>
      <c r="D18" s="48" t="s">
        <v>10</v>
      </c>
      <c r="E18" s="51">
        <v>45723</v>
      </c>
      <c r="F18" s="48" t="s">
        <v>120</v>
      </c>
      <c r="G18" s="48" t="s">
        <v>121</v>
      </c>
      <c r="H18" s="48" t="s">
        <v>121</v>
      </c>
      <c r="I18" s="48" t="s">
        <v>120</v>
      </c>
      <c r="J18" s="53" t="s">
        <v>175</v>
      </c>
      <c r="K18" s="48" t="s">
        <v>121</v>
      </c>
      <c r="L18" s="51">
        <v>45723</v>
      </c>
      <c r="M18" s="53" t="s">
        <v>175</v>
      </c>
      <c r="N18" s="53" t="s">
        <v>175</v>
      </c>
      <c r="O18" s="53" t="s">
        <v>175</v>
      </c>
      <c r="P18" s="48" t="s">
        <v>159</v>
      </c>
      <c r="Q18" s="20" t="s">
        <v>142</v>
      </c>
    </row>
    <row r="19" spans="1:17" x14ac:dyDescent="0.3">
      <c r="A19" s="20" t="s">
        <v>193</v>
      </c>
      <c r="B19" s="48" t="s">
        <v>143</v>
      </c>
      <c r="C19" s="48" t="s">
        <v>16</v>
      </c>
      <c r="D19" s="48" t="s">
        <v>10</v>
      </c>
      <c r="E19" s="51">
        <v>45723</v>
      </c>
      <c r="F19" s="48" t="s">
        <v>120</v>
      </c>
      <c r="G19" s="48" t="s">
        <v>120</v>
      </c>
      <c r="H19" s="48" t="s">
        <v>121</v>
      </c>
      <c r="I19" s="48" t="s">
        <v>129</v>
      </c>
      <c r="J19" s="53" t="s">
        <v>175</v>
      </c>
      <c r="K19" s="48" t="s">
        <v>121</v>
      </c>
      <c r="L19" s="51">
        <v>45723</v>
      </c>
      <c r="M19" s="53" t="s">
        <v>175</v>
      </c>
      <c r="N19" s="53" t="s">
        <v>175</v>
      </c>
      <c r="O19" s="53" t="s">
        <v>175</v>
      </c>
      <c r="P19" s="48" t="s">
        <v>159</v>
      </c>
      <c r="Q19" s="20" t="s">
        <v>144</v>
      </c>
    </row>
    <row r="20" spans="1:17" x14ac:dyDescent="0.3">
      <c r="A20" s="20" t="s">
        <v>194</v>
      </c>
      <c r="B20" s="48" t="s">
        <v>202</v>
      </c>
      <c r="C20" s="48" t="s">
        <v>16</v>
      </c>
      <c r="D20" s="48" t="s">
        <v>10</v>
      </c>
      <c r="E20" s="51">
        <v>45723</v>
      </c>
      <c r="F20" s="48" t="s">
        <v>120</v>
      </c>
      <c r="G20" s="48" t="s">
        <v>121</v>
      </c>
      <c r="H20" s="48" t="s">
        <v>121</v>
      </c>
      <c r="I20" s="48" t="s">
        <v>120</v>
      </c>
      <c r="J20" s="53" t="s">
        <v>175</v>
      </c>
      <c r="K20" s="48" t="s">
        <v>121</v>
      </c>
      <c r="L20" s="51">
        <v>45723</v>
      </c>
      <c r="M20" s="53" t="s">
        <v>175</v>
      </c>
      <c r="N20" s="53" t="s">
        <v>175</v>
      </c>
      <c r="O20" s="53" t="s">
        <v>175</v>
      </c>
      <c r="P20" s="48" t="s">
        <v>159</v>
      </c>
      <c r="Q20" s="20" t="s">
        <v>123</v>
      </c>
    </row>
    <row r="21" spans="1:17" x14ac:dyDescent="0.3">
      <c r="A21" s="20" t="s">
        <v>195</v>
      </c>
      <c r="B21" s="48" t="s">
        <v>202</v>
      </c>
      <c r="C21" s="48" t="s">
        <v>16</v>
      </c>
      <c r="D21" s="48" t="s">
        <v>10</v>
      </c>
      <c r="E21" s="51">
        <v>45723</v>
      </c>
      <c r="F21" s="48" t="s">
        <v>120</v>
      </c>
      <c r="G21" s="48" t="s">
        <v>121</v>
      </c>
      <c r="H21" s="48" t="s">
        <v>121</v>
      </c>
      <c r="I21" s="48" t="s">
        <v>120</v>
      </c>
      <c r="J21" s="53" t="s">
        <v>175</v>
      </c>
      <c r="K21" s="48" t="s">
        <v>121</v>
      </c>
      <c r="L21" s="51">
        <v>45723</v>
      </c>
      <c r="M21" s="53" t="s">
        <v>175</v>
      </c>
      <c r="N21" s="53" t="s">
        <v>175</v>
      </c>
      <c r="O21" s="53" t="s">
        <v>175</v>
      </c>
      <c r="P21" s="48" t="s">
        <v>159</v>
      </c>
      <c r="Q21" s="20" t="s">
        <v>76</v>
      </c>
    </row>
    <row r="22" spans="1:17" x14ac:dyDescent="0.3">
      <c r="A22" s="20" t="s">
        <v>196</v>
      </c>
      <c r="B22" s="48" t="s">
        <v>130</v>
      </c>
      <c r="C22" s="48" t="s">
        <v>15</v>
      </c>
      <c r="D22" s="48" t="s">
        <v>113</v>
      </c>
      <c r="E22" s="51">
        <v>45722</v>
      </c>
      <c r="F22" s="48" t="s">
        <v>121</v>
      </c>
      <c r="G22" s="48" t="s">
        <v>121</v>
      </c>
      <c r="H22" s="48" t="s">
        <v>121</v>
      </c>
      <c r="I22" s="48" t="s">
        <v>121</v>
      </c>
      <c r="J22" s="53" t="s">
        <v>175</v>
      </c>
      <c r="K22" s="48" t="s">
        <v>121</v>
      </c>
      <c r="L22" s="51">
        <v>45722</v>
      </c>
      <c r="M22" s="53" t="s">
        <v>175</v>
      </c>
      <c r="N22" s="53" t="s">
        <v>175</v>
      </c>
      <c r="O22" s="53" t="s">
        <v>175</v>
      </c>
      <c r="P22" s="48" t="s">
        <v>159</v>
      </c>
      <c r="Q22" s="20" t="s">
        <v>81</v>
      </c>
    </row>
    <row r="23" spans="1:17" x14ac:dyDescent="0.3">
      <c r="A23" s="20" t="s">
        <v>197</v>
      </c>
      <c r="B23" s="48" t="s">
        <v>131</v>
      </c>
      <c r="C23" s="48" t="s">
        <v>16</v>
      </c>
      <c r="D23" s="48" t="s">
        <v>10</v>
      </c>
      <c r="E23" s="51">
        <v>45722</v>
      </c>
      <c r="F23" s="48" t="s">
        <v>120</v>
      </c>
      <c r="G23" s="48" t="s">
        <v>121</v>
      </c>
      <c r="H23" s="48" t="s">
        <v>121</v>
      </c>
      <c r="I23" s="48" t="s">
        <v>120</v>
      </c>
      <c r="J23" s="53" t="s">
        <v>175</v>
      </c>
      <c r="K23" s="48" t="s">
        <v>121</v>
      </c>
      <c r="L23" s="51">
        <v>45722</v>
      </c>
      <c r="M23" s="53" t="s">
        <v>175</v>
      </c>
      <c r="N23" s="53" t="s">
        <v>175</v>
      </c>
      <c r="O23" s="53" t="s">
        <v>175</v>
      </c>
      <c r="P23" s="48" t="s">
        <v>159</v>
      </c>
      <c r="Q23" s="20" t="s">
        <v>82</v>
      </c>
    </row>
    <row r="24" spans="1:17" x14ac:dyDescent="0.3">
      <c r="A24" s="20" t="s">
        <v>198</v>
      </c>
      <c r="B24" s="48" t="s">
        <v>132</v>
      </c>
      <c r="C24" s="48" t="s">
        <v>16</v>
      </c>
      <c r="D24" s="48" t="s">
        <v>85</v>
      </c>
      <c r="E24" s="51">
        <v>45722</v>
      </c>
      <c r="F24" s="48" t="s">
        <v>121</v>
      </c>
      <c r="G24" s="48" t="s">
        <v>121</v>
      </c>
      <c r="H24" s="48" t="s">
        <v>121</v>
      </c>
      <c r="I24" s="48" t="s">
        <v>121</v>
      </c>
      <c r="J24" s="53" t="s">
        <v>175</v>
      </c>
      <c r="K24" s="48" t="s">
        <v>121</v>
      </c>
      <c r="L24" s="51">
        <v>45730</v>
      </c>
      <c r="M24" s="53" t="s">
        <v>175</v>
      </c>
      <c r="N24" s="53" t="s">
        <v>175</v>
      </c>
      <c r="O24" s="53" t="s">
        <v>175</v>
      </c>
      <c r="P24" s="48" t="s">
        <v>159</v>
      </c>
      <c r="Q24" s="20" t="s">
        <v>83</v>
      </c>
    </row>
    <row r="25" spans="1:17" x14ac:dyDescent="0.3">
      <c r="A25" s="20" t="s">
        <v>199</v>
      </c>
      <c r="B25" s="48" t="s">
        <v>133</v>
      </c>
      <c r="C25" s="48" t="s">
        <v>16</v>
      </c>
      <c r="D25" s="48" t="s">
        <v>10</v>
      </c>
      <c r="E25" s="51">
        <v>45722</v>
      </c>
      <c r="F25" s="48" t="s">
        <v>129</v>
      </c>
      <c r="G25" s="48" t="s">
        <v>129</v>
      </c>
      <c r="H25" s="48" t="s">
        <v>121</v>
      </c>
      <c r="I25" s="48" t="s">
        <v>121</v>
      </c>
      <c r="J25" s="53" t="s">
        <v>175</v>
      </c>
      <c r="K25" s="48" t="s">
        <v>121</v>
      </c>
      <c r="L25" s="51">
        <v>45722</v>
      </c>
      <c r="M25" s="53" t="s">
        <v>175</v>
      </c>
      <c r="N25" s="53" t="s">
        <v>175</v>
      </c>
      <c r="O25" s="53" t="s">
        <v>175</v>
      </c>
      <c r="P25" s="48" t="s">
        <v>159</v>
      </c>
      <c r="Q25" s="20" t="s">
        <v>84</v>
      </c>
    </row>
  </sheetData>
  <phoneticPr fontId="2"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p:properties xmlns:p="http://schemas.microsoft.com/office/2006/metadata/properties" xmlns:xsi="http://www.w3.org/2001/XMLSchema-instance" xmlns:pc="http://schemas.microsoft.com/office/infopath/2007/PartnerControls">
  <documentManagement>
    <TaxCatchAll xmlns="e9aa198f-3527-4b2d-be02-f86f9b700563" xsi:nil="true"/>
    <lcf76f155ced4ddcb4097134ff3c332f xmlns="6695b493-c34c-4558-9f62-ffe77d6b0606">
      <Terms xmlns="http://schemas.microsoft.com/office/infopath/2007/PartnerControls"/>
    </lcf76f155ced4ddcb4097134ff3c332f>
  </documentManagement>
</p:properties>
</file>

<file path=customXml/item10.xml>�� 
</file>

<file path=customXml/item11.xml>�� 
</file>

<file path=customXml/item12.xml>�� 
</file>

<file path=customXml/item13.xml>�� 
</file>

<file path=customXml/item14.xml>�� 
</file>

<file path=customXml/item15.xml><?xml version="1.0" encoding="utf-8"?>
<?mso-contentType ?>
<FormTemplates xmlns="http://schemas.microsoft.com/sharepoint/v3/contenttype/forms">
  <Display>DocumentLibraryForm</Display>
  <Edit>DocumentLibraryForm</Edit>
  <New>DocumentLibraryForm</New>
</FormTemplates>
</file>

<file path=customXml/item16.xml>�� 
</file>

<file path=customXml/item17.xml>�� 
</file>

<file path=customXml/item18.xml>�� 
</file>

<file path=customXml/item19.xml>�� 
</file>

<file path=customXml/item20.xml>�� 
</file>

<file path=customXml/item21.xml><?xml version="1.0" encoding="utf-8"?>
<ct:contentTypeSchema xmlns:ct="http://schemas.microsoft.com/office/2006/metadata/contentType" xmlns:ma="http://schemas.microsoft.com/office/2006/metadata/properties/metaAttributes" ct:_="" ma:_="" ma:contentTypeName="Document" ma:contentTypeID="0x0101000DD80B6DF05B0447AA3BDC7F9B8A5C9E" ma:contentTypeVersion="14" ma:contentTypeDescription="Create a new document." ma:contentTypeScope="" ma:versionID="b7baf9c3e467a1ac55756c1890405d0f">
  <xsd:schema xmlns:xsd="http://www.w3.org/2001/XMLSchema" xmlns:xs="http://www.w3.org/2001/XMLSchema" xmlns:p="http://schemas.microsoft.com/office/2006/metadata/properties" xmlns:ns2="6695b493-c34c-4558-9f62-ffe77d6b0606" xmlns:ns3="fd85216a-34ad-4986-8204-b8a465f7aeee" xmlns:ns4="e9aa198f-3527-4b2d-be02-f86f9b700563" targetNamespace="http://schemas.microsoft.com/office/2006/metadata/properties" ma:root="true" ma:fieldsID="adab018582b744dad49d0ff07554ec5d" ns2:_="" ns3:_="" ns4:_="">
    <xsd:import namespace="6695b493-c34c-4558-9f62-ffe77d6b0606"/>
    <xsd:import namespace="fd85216a-34ad-4986-8204-b8a465f7aeee"/>
    <xsd:import namespace="e9aa198f-3527-4b2d-be02-f86f9b70056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ObjectDetectorVersions" minOccurs="0"/>
                <xsd:element ref="ns2:MediaLengthInSeconds" minOccurs="0"/>
                <xsd:element ref="ns2:MediaServiceSearchProperties" minOccurs="0"/>
                <xsd:element ref="ns3:SharedWithUsers" minOccurs="0"/>
                <xsd:element ref="ns3:SharedWithDetails" minOccurs="0"/>
                <xsd:element ref="ns2:lcf76f155ced4ddcb4097134ff3c332f" minOccurs="0"/>
                <xsd:element ref="ns4: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5b493-c34c-4558-9f62-ffe77d6b06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59967681-caf4-44cd-948e-90f571439626"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85216a-34ad-4986-8204-b8a465f7aeee"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9aa198f-3527-4b2d-be02-f86f9b700563"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35054308-bb2a-4bf2-8c19-00d888c6550f}" ma:internalName="TaxCatchAll" ma:showField="CatchAllData" ma:web="fd85216a-34ad-4986-8204-b8a465f7aee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2.xml>�� 
</file>

<file path=customXml/item23.xml>�� 
</file>

<file path=customXml/item24.xml>�� 
</file>

<file path=customXml/itemProps1.xml><?xml version="1.0" encoding="utf-8"?>
<ds:datastoreItem xmlns:ds="http://schemas.openxmlformats.org/officeDocument/2006/customXml" ds:itemID="{ED23B11A-648D-4BB9-8214-84E07CEE0C76}">
  <ds:schemaRefs>
    <ds:schemaRef ds:uri="http://gemini/pivotcustomization/FormulaBarState"/>
  </ds:schemaRefs>
</ds:datastoreItem>
</file>

<file path=customXml/itemProps2.xml><?xml version="1.0" encoding="utf-8"?>
<ds:datastoreItem xmlns:ds="http://schemas.openxmlformats.org/officeDocument/2006/customXml" ds:itemID="{D78BFE11-1B89-4849-90AC-7D54236713FB}">
  <ds:schemaRefs>
    <ds:schemaRef ds:uri="http://gemini/pivotcustomization/PowerPivotVersion"/>
  </ds:schemaRefs>
</ds:datastoreItem>
</file>

<file path=customXml/itemProps3.xml><?xml version="1.0" encoding="utf-8"?>
<ds:datastoreItem xmlns:ds="http://schemas.openxmlformats.org/officeDocument/2006/customXml" ds:itemID="{CD3A838B-FD14-4592-B29E-FC945748527D}">
  <ds:schemaRefs>
    <ds:schemaRef ds:uri="http://gemini/pivotcustomization/TableXML_Issue"/>
  </ds:schemaRefs>
</ds:datastoreItem>
</file>

<file path=customXml/itemProps4.xml><?xml version="1.0" encoding="utf-8"?>
<ds:datastoreItem xmlns:ds="http://schemas.openxmlformats.org/officeDocument/2006/customXml" ds:itemID="{28FB5094-BF22-408F-8F9D-58A66E7D49C8}">
  <ds:schemaRefs>
    <ds:schemaRef ds:uri="http://gemini/pivotcustomization/ShowImplicitMeasures"/>
  </ds:schemaRefs>
</ds:datastoreItem>
</file>

<file path=customXml/itemProps5.xml><?xml version="1.0" encoding="utf-8"?>
<ds:datastoreItem xmlns:ds="http://schemas.openxmlformats.org/officeDocument/2006/customXml" ds:itemID="{C2039126-C792-46B9-A821-045A189BF8F2}">
  <ds:schemaRefs>
    <ds:schemaRef ds:uri="http://gemini/pivotcustomization/ManualCalcMode"/>
  </ds:schemaRefs>
</ds:datastoreItem>
</file>

<file path=customXml/itemProps6.xml><?xml version="1.0" encoding="utf-8"?>
<ds:datastoreItem xmlns:ds="http://schemas.openxmlformats.org/officeDocument/2006/customXml" ds:itemID="{ECE09713-0415-4A6D-8638-F97A0C001F8F}">
  <ds:schemaRefs>
    <ds:schemaRef ds:uri="http://gemini/pivotcustomization/TableXML_Projects"/>
  </ds:schemaRefs>
</ds:datastoreItem>
</file>

<file path=customXml/itemProps7.xml><?xml version="1.0" encoding="utf-8"?>
<ds:datastoreItem xmlns:ds="http://schemas.openxmlformats.org/officeDocument/2006/customXml" ds:itemID="{FAE6BD7E-F5F4-4E70-9868-C39DDBB11FBF}">
  <ds:schemaRefs>
    <ds:schemaRef ds:uri="http://gemini/pivotcustomization/TableXML_Milestones"/>
  </ds:schemaRefs>
</ds:datastoreItem>
</file>

<file path=customXml/itemProps8.xml><?xml version="1.0" encoding="utf-8"?>
<ds:datastoreItem xmlns:ds="http://schemas.openxmlformats.org/officeDocument/2006/customXml" ds:itemID="{9BDFC251-C872-41B7-961B-EBF2D8C84E26}">
  <ds:schemaRefs>
    <ds:schemaRef ds:uri="http://gemini/pivotcustomization/Diagrams"/>
  </ds:schemaRefs>
</ds:datastoreItem>
</file>

<file path=customXml/itemProps9.xml><?xml version="1.0" encoding="utf-8"?>
<ds:datastoreItem xmlns:ds="http://schemas.openxmlformats.org/officeDocument/2006/customXml" ds:itemID="{2115804A-AC65-4C7F-A4CF-9996333EEC98}">
  <ds:schemaRefs>
    <ds:schemaRef ds:uri="http://schemas.microsoft.com/office/2006/metadata/properties"/>
    <ds:schemaRef ds:uri="http://purl.org/dc/dcmitype/"/>
    <ds:schemaRef ds:uri="http://schemas.microsoft.com/office/2006/documentManagement/types"/>
    <ds:schemaRef ds:uri="fd85216a-34ad-4986-8204-b8a465f7aeee"/>
    <ds:schemaRef ds:uri="e9aa198f-3527-4b2d-be02-f86f9b700563"/>
    <ds:schemaRef ds:uri="http://www.w3.org/XML/1998/namespace"/>
    <ds:schemaRef ds:uri="http://schemas.microsoft.com/office/infopath/2007/PartnerControls"/>
    <ds:schemaRef ds:uri="http://schemas.openxmlformats.org/package/2006/metadata/core-properties"/>
    <ds:schemaRef ds:uri="6695b493-c34c-4558-9f62-ffe77d6b0606"/>
    <ds:schemaRef ds:uri="http://purl.org/dc/terms/"/>
    <ds:schemaRef ds:uri="http://purl.org/dc/elements/1.1/"/>
  </ds:schemaRefs>
</ds:datastoreItem>
</file>

<file path=customXml/itemProps10.xml><?xml version="1.0" encoding="utf-8"?>
<ds:datastoreItem xmlns:ds="http://schemas.openxmlformats.org/officeDocument/2006/customXml" ds:itemID="{5AC24EA2-0B03-4A38-AB74-201B17441118}">
  <ds:schemaRefs>
    <ds:schemaRef ds:uri="http://gemini/pivotcustomization/ShowHidden"/>
  </ds:schemaRefs>
</ds:datastoreItem>
</file>

<file path=customXml/itemProps11.xml><?xml version="1.0" encoding="utf-8"?>
<ds:datastoreItem xmlns:ds="http://schemas.openxmlformats.org/officeDocument/2006/customXml" ds:itemID="{AC7FCC77-AB6A-4383-B164-B6060636F053}">
  <ds:schemaRefs>
    <ds:schemaRef ds:uri="http://gemini/pivotcustomization/TableXML_Risk"/>
  </ds:schemaRefs>
</ds:datastoreItem>
</file>

<file path=customXml/itemProps12.xml><?xml version="1.0" encoding="utf-8"?>
<ds:datastoreItem xmlns:ds="http://schemas.openxmlformats.org/officeDocument/2006/customXml" ds:itemID="{D19F56C2-7CBF-4E49-A870-F22DD301E44A}">
  <ds:schemaRefs>
    <ds:schemaRef ds:uri="http://gemini/pivotcustomization/IsSandboxEmbedded"/>
  </ds:schemaRefs>
</ds:datastoreItem>
</file>

<file path=customXml/itemProps13.xml><?xml version="1.0" encoding="utf-8"?>
<ds:datastoreItem xmlns:ds="http://schemas.openxmlformats.org/officeDocument/2006/customXml" ds:itemID="{B9AC29D4-6080-48B8-A776-5F881917C999}">
  <ds:schemaRefs>
    <ds:schemaRef ds:uri="http://gemini/pivotcustomization/RelationshipAutoDetectionEnabled"/>
  </ds:schemaRefs>
</ds:datastoreItem>
</file>

<file path=customXml/itemProps14.xml><?xml version="1.0" encoding="utf-8"?>
<ds:datastoreItem xmlns:ds="http://schemas.openxmlformats.org/officeDocument/2006/customXml" ds:itemID="{6E3EC7FA-4D95-455D-81F7-A5F1DF5B9203}">
  <ds:schemaRefs>
    <ds:schemaRef ds:uri="http://gemini/pivotcustomization/TableXML_RAG"/>
  </ds:schemaRefs>
</ds:datastoreItem>
</file>

<file path=customXml/itemProps15.xml><?xml version="1.0" encoding="utf-8"?>
<ds:datastoreItem xmlns:ds="http://schemas.openxmlformats.org/officeDocument/2006/customXml" ds:itemID="{F0F9CAB8-5EB9-40D3-8724-89E242A122AE}">
  <ds:schemaRefs>
    <ds:schemaRef ds:uri="http://schemas.microsoft.com/sharepoint/v3/contenttype/forms"/>
  </ds:schemaRefs>
</ds:datastoreItem>
</file>

<file path=customXml/itemProps16.xml><?xml version="1.0" encoding="utf-8"?>
<ds:datastoreItem xmlns:ds="http://schemas.openxmlformats.org/officeDocument/2006/customXml" ds:itemID="{29645DB4-9EDB-48AA-97A6-43F8EB13EA8E}">
  <ds:schemaRefs>
    <ds:schemaRef ds:uri="http://gemini/pivotcustomization/ErrorCache"/>
  </ds:schemaRefs>
</ds:datastoreItem>
</file>

<file path=customXml/itemProps17.xml><?xml version="1.0" encoding="utf-8"?>
<ds:datastoreItem xmlns:ds="http://schemas.openxmlformats.org/officeDocument/2006/customXml" ds:itemID="{7D7395D4-D93D-429A-B881-F3247A5D7D47}">
  <ds:schemaRefs>
    <ds:schemaRef ds:uri="http://gemini/pivotcustomization/LinkedTableUpdateMode"/>
  </ds:schemaRefs>
</ds:datastoreItem>
</file>

<file path=customXml/itemProps18.xml><?xml version="1.0" encoding="utf-8"?>
<ds:datastoreItem xmlns:ds="http://schemas.openxmlformats.org/officeDocument/2006/customXml" ds:itemID="{2AD51E7D-F402-4C24-A5E4-71439D839F16}">
  <ds:schemaRefs>
    <ds:schemaRef ds:uri="http://gemini/pivotcustomization/MeasureGridState"/>
  </ds:schemaRefs>
</ds:datastoreItem>
</file>

<file path=customXml/itemProps19.xml><?xml version="1.0" encoding="utf-8"?>
<ds:datastoreItem xmlns:ds="http://schemas.openxmlformats.org/officeDocument/2006/customXml" ds:itemID="{603D509D-66E1-4532-AC4A-6700595BBF35}">
  <ds:schemaRefs>
    <ds:schemaRef ds:uri="http://gemini/pivotcustomization/ClientWindowXML"/>
  </ds:schemaRefs>
</ds:datastoreItem>
</file>

<file path=customXml/itemProps20.xml><?xml version="1.0" encoding="utf-8"?>
<ds:datastoreItem xmlns:ds="http://schemas.openxmlformats.org/officeDocument/2006/customXml" ds:itemID="{7D3072D7-55BF-461E-9CE1-2085E41DD109}">
  <ds:schemaRefs>
    <ds:schemaRef ds:uri="http://gemini/pivotcustomization/SandboxNonEmpty"/>
  </ds:schemaRefs>
</ds:datastoreItem>
</file>

<file path=customXml/itemProps21.xml><?xml version="1.0" encoding="utf-8"?>
<ds:datastoreItem xmlns:ds="http://schemas.openxmlformats.org/officeDocument/2006/customXml" ds:itemID="{E3D444D3-39BB-4671-9048-E9288C67E1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5b493-c34c-4558-9f62-ffe77d6b0606"/>
    <ds:schemaRef ds:uri="fd85216a-34ad-4986-8204-b8a465f7aeee"/>
    <ds:schemaRef ds:uri="e9aa198f-3527-4b2d-be02-f86f9b7005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2.xml><?xml version="1.0" encoding="utf-8"?>
<ds:datastoreItem xmlns:ds="http://schemas.openxmlformats.org/officeDocument/2006/customXml" ds:itemID="{A82ECBE4-6C9F-4B42-9323-1DBBD31C703B}">
  <ds:schemaRefs>
    <ds:schemaRef ds:uri="http://gemini/pivotcustomization/TableWidget"/>
  </ds:schemaRefs>
</ds:datastoreItem>
</file>

<file path=customXml/itemProps23.xml><?xml version="1.0" encoding="utf-8"?>
<ds:datastoreItem xmlns:ds="http://schemas.openxmlformats.org/officeDocument/2006/customXml" ds:itemID="{F6898705-27D2-4854-83DF-14F0E93E98F7}">
  <ds:schemaRefs>
    <ds:schemaRef ds:uri="http://gemini/pivotcustomization/TableOrder"/>
  </ds:schemaRefs>
</ds:datastoreItem>
</file>

<file path=customXml/itemProps24.xml><?xml version="1.0" encoding="utf-8"?>
<ds:datastoreItem xmlns:ds="http://schemas.openxmlformats.org/officeDocument/2006/customXml" ds:itemID="{44279526-CD93-4EA1-87E1-CEF1760AD2B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VBA</vt:lpstr>
      <vt:lpstr>Governance Dashboard</vt:lpstr>
      <vt:lpstr>Projects Dashboard</vt:lpstr>
      <vt:lpstr>Milestones</vt:lpstr>
      <vt:lpstr>Risk</vt:lpstr>
      <vt:lpstr>Issue</vt:lpstr>
      <vt:lpstr>PCR</vt:lpstr>
      <vt:lpstr>Projects</vt:lpstr>
      <vt:lpstr>RAG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Patryk Zychlewicz</dc:creator>
  <cp:keywords/>
  <dc:description/>
  <cp:lastModifiedBy>Patryk Zychlewicz</cp:lastModifiedBy>
  <cp:revision/>
  <dcterms:created xsi:type="dcterms:W3CDTF">2024-03-22T11:32:24Z</dcterms:created>
  <dcterms:modified xsi:type="dcterms:W3CDTF">2025-04-22T20:16:23Z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463cba9-5f6c-478d-9329-7b2295e4e8ed_Enabled">
    <vt:lpwstr>true</vt:lpwstr>
  </property>
  <property fmtid="{D5CDD505-2E9C-101B-9397-08002B2CF9AE}" pid="3" name="MSIP_Label_e463cba9-5f6c-478d-9329-7b2295e4e8ed_SetDate">
    <vt:lpwstr>2024-03-22T13:04:22Z</vt:lpwstr>
  </property>
  <property fmtid="{D5CDD505-2E9C-101B-9397-08002B2CF9AE}" pid="4" name="MSIP_Label_e463cba9-5f6c-478d-9329-7b2295e4e8ed_Method">
    <vt:lpwstr>Standard</vt:lpwstr>
  </property>
  <property fmtid="{D5CDD505-2E9C-101B-9397-08002B2CF9AE}" pid="5" name="MSIP_Label_e463cba9-5f6c-478d-9329-7b2295e4e8ed_Name">
    <vt:lpwstr>All Employees_2</vt:lpwstr>
  </property>
  <property fmtid="{D5CDD505-2E9C-101B-9397-08002B2CF9AE}" pid="6" name="MSIP_Label_e463cba9-5f6c-478d-9329-7b2295e4e8ed_SiteId">
    <vt:lpwstr>33440fc6-b7c7-412c-bb73-0e70b0198d5a</vt:lpwstr>
  </property>
  <property fmtid="{D5CDD505-2E9C-101B-9397-08002B2CF9AE}" pid="7" name="MSIP_Label_e463cba9-5f6c-478d-9329-7b2295e4e8ed_ActionId">
    <vt:lpwstr>13cb3462-3036-4118-b744-11d56669a34c</vt:lpwstr>
  </property>
  <property fmtid="{D5CDD505-2E9C-101B-9397-08002B2CF9AE}" pid="8" name="MSIP_Label_e463cba9-5f6c-478d-9329-7b2295e4e8ed_ContentBits">
    <vt:lpwstr>0</vt:lpwstr>
  </property>
  <property fmtid="{D5CDD505-2E9C-101B-9397-08002B2CF9AE}" pid="9" name="ContentTypeId">
    <vt:lpwstr>0x0101000DD80B6DF05B0447AA3BDC7F9B8A5C9E</vt:lpwstr>
  </property>
  <property fmtid="{D5CDD505-2E9C-101B-9397-08002B2CF9AE}" pid="10" name="MediaServiceImageTags">
    <vt:lpwstr/>
  </property>
</Properties>
</file>